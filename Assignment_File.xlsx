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ta\OneDrive\Documents\"/>
    </mc:Choice>
  </mc:AlternateContent>
  <xr:revisionPtr revIDLastSave="0" documentId="8_{7BDF18FC-02B6-4B06-A9ED-CB638D82C754}" xr6:coauthVersionLast="47" xr6:coauthVersionMax="47" xr10:uidLastSave="{00000000-0000-0000-0000-000000000000}"/>
  <bookViews>
    <workbookView xWindow="-108" yWindow="-108" windowWidth="23256" windowHeight="12456" xr2:uid="{73CF0D97-EED0-481A-9B76-FC6AC6484FD7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definedNames>
    <definedName name="_xlnm._FilterDatabase" localSheetId="7" hidden="1">Q.8!$A$1:$H$51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8" l="1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N3" i="7"/>
  <c r="N4" i="7"/>
  <c r="N5" i="7"/>
  <c r="N6" i="7"/>
  <c r="N2" i="7"/>
  <c r="M2" i="7" a="1"/>
  <c r="M2" i="7" s="1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2" i="5"/>
  <c r="J6" i="1"/>
  <c r="J7" i="1"/>
  <c r="J5" i="1"/>
  <c r="I6" i="1"/>
  <c r="I7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<sst xmlns="http://schemas.openxmlformats.org/spreadsheetml/2006/main" count="1006" uniqueCount="161">
  <si>
    <t>Explain the difference between Relative , Absolute and Mixed Cell Referencing.</t>
  </si>
  <si>
    <t>Q. 1</t>
  </si>
  <si>
    <t>Answer</t>
  </si>
  <si>
    <t>Vehicle</t>
  </si>
  <si>
    <t>Price</t>
  </si>
  <si>
    <t>Car</t>
  </si>
  <si>
    <t>Bicycle</t>
  </si>
  <si>
    <t>Auto-Reckshaw</t>
  </si>
  <si>
    <t>Given Dataset</t>
  </si>
  <si>
    <t>1) Relative Cell Refrencing :</t>
  </si>
  <si>
    <t>Both row and column change automatically when the formula is copied and this is the default</t>
  </si>
  <si>
    <t>Cell Refrencing.</t>
  </si>
  <si>
    <r>
      <t>that column and in cell</t>
    </r>
    <r>
      <rPr>
        <b/>
        <sz val="12"/>
        <color theme="1"/>
        <rFont val="Aptos Narrow"/>
        <family val="2"/>
        <scheme val="minor"/>
      </rPr>
      <t xml:space="preserve"> I5 </t>
    </r>
    <r>
      <rPr>
        <sz val="12"/>
        <color theme="1"/>
        <rFont val="Aptos Narrow"/>
        <family val="2"/>
        <scheme val="minor"/>
      </rPr>
      <t xml:space="preserve">I used this formula </t>
    </r>
    <r>
      <rPr>
        <b/>
        <sz val="12"/>
        <color theme="1"/>
        <rFont val="Aptos Narrow"/>
        <family val="2"/>
        <scheme val="minor"/>
      </rPr>
      <t xml:space="preserve">H5 + 100 </t>
    </r>
    <r>
      <rPr>
        <sz val="12"/>
        <color theme="1"/>
        <rFont val="Aptos Narrow"/>
        <family val="2"/>
        <scheme val="minor"/>
      </rPr>
      <t xml:space="preserve">and when I drag down to </t>
    </r>
    <r>
      <rPr>
        <b/>
        <sz val="12"/>
        <color theme="1"/>
        <rFont val="Aptos Narrow"/>
        <family val="2"/>
        <scheme val="minor"/>
      </rPr>
      <t>I6 and I7</t>
    </r>
  </si>
  <si>
    <t>2) Absolute Cell Refrencing :</t>
  </si>
  <si>
    <t>Add 100</t>
  </si>
  <si>
    <r>
      <t xml:space="preserve">formula changed automatically to </t>
    </r>
    <r>
      <rPr>
        <b/>
        <sz val="12"/>
        <color theme="1"/>
        <rFont val="Aptos Narrow"/>
        <family val="2"/>
        <scheme val="minor"/>
      </rPr>
      <t xml:space="preserve">H6 + 100 </t>
    </r>
    <r>
      <rPr>
        <sz val="12"/>
        <color theme="1"/>
        <rFont val="Aptos Narrow"/>
        <family val="2"/>
        <scheme val="minor"/>
      </rPr>
      <t xml:space="preserve">and </t>
    </r>
    <r>
      <rPr>
        <b/>
        <sz val="12"/>
        <color theme="1"/>
        <rFont val="Aptos Narrow"/>
        <family val="2"/>
        <scheme val="minor"/>
      </rPr>
      <t xml:space="preserve">H7 + 100 </t>
    </r>
    <r>
      <rPr>
        <sz val="12"/>
        <color theme="1"/>
        <rFont val="Aptos Narrow"/>
        <family val="2"/>
        <scheme val="minor"/>
      </rPr>
      <t xml:space="preserve">respectively, this is called </t>
    </r>
    <r>
      <rPr>
        <b/>
        <sz val="12"/>
        <color theme="1"/>
        <rFont val="Aptos Narrow"/>
        <family val="2"/>
        <scheme val="minor"/>
      </rPr>
      <t>Relative</t>
    </r>
  </si>
  <si>
    <t>Both row and column are locked. The refrence never changes, no matter where you copy the</t>
  </si>
  <si>
    <t>behavior in Excel. For example, in the given dataset, I've created a column (Add 100) and in</t>
  </si>
  <si>
    <t>formula. For example, in the given dataset, I've created a column (Subtract 100) and in that</t>
  </si>
  <si>
    <t>Subtract 100</t>
  </si>
  <si>
    <r>
      <t xml:space="preserve">column and in cell </t>
    </r>
    <r>
      <rPr>
        <b/>
        <sz val="12"/>
        <color theme="1"/>
        <rFont val="Aptos Narrow"/>
        <family val="2"/>
        <scheme val="minor"/>
      </rPr>
      <t>J5</t>
    </r>
    <r>
      <rPr>
        <sz val="12"/>
        <color theme="1"/>
        <rFont val="Aptos Narrow"/>
        <family val="2"/>
        <scheme val="minor"/>
      </rPr>
      <t xml:space="preserve">, I used this formula </t>
    </r>
    <r>
      <rPr>
        <b/>
        <sz val="12"/>
        <color theme="1"/>
        <rFont val="Aptos Narrow"/>
        <family val="2"/>
        <scheme val="minor"/>
      </rPr>
      <t>$H$5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- 100</t>
    </r>
    <r>
      <rPr>
        <sz val="12"/>
        <color theme="1"/>
        <rFont val="Aptos Narrow"/>
        <family val="2"/>
        <scheme val="minor"/>
      </rPr>
      <t xml:space="preserve"> and when I drag down to </t>
    </r>
    <r>
      <rPr>
        <b/>
        <sz val="12"/>
        <color theme="1"/>
        <rFont val="Aptos Narrow"/>
        <family val="2"/>
        <scheme val="minor"/>
      </rPr>
      <t>J6 and J7</t>
    </r>
    <r>
      <rPr>
        <sz val="12"/>
        <color theme="1"/>
        <rFont val="Aptos Narrow"/>
        <family val="2"/>
        <scheme val="minor"/>
      </rPr>
      <t xml:space="preserve"> formula</t>
    </r>
  </si>
  <si>
    <r>
      <t xml:space="preserve">never changed, the result was same in both </t>
    </r>
    <r>
      <rPr>
        <b/>
        <sz val="12"/>
        <color theme="1"/>
        <rFont val="Aptos Narrow"/>
        <family val="2"/>
        <scheme val="minor"/>
      </rPr>
      <t>J6 and J7</t>
    </r>
    <r>
      <rPr>
        <sz val="12"/>
        <color theme="1"/>
        <rFont val="Aptos Narrow"/>
        <family val="2"/>
        <scheme val="minor"/>
      </rPr>
      <t xml:space="preserve">, this is called </t>
    </r>
    <r>
      <rPr>
        <b/>
        <sz val="12"/>
        <color theme="1"/>
        <rFont val="Aptos Narrow"/>
        <family val="2"/>
        <scheme val="minor"/>
      </rPr>
      <t>Absolute Cell Refrencing.</t>
    </r>
  </si>
  <si>
    <t>3) Mixed Cell Refrencing :</t>
  </si>
  <si>
    <t>Mixed cell refrencing is used when we want to lock either row or column, but not both.</t>
  </si>
  <si>
    <t xml:space="preserve">How it works : </t>
  </si>
  <si>
    <r>
      <t xml:space="preserve">A$1 - </t>
    </r>
    <r>
      <rPr>
        <sz val="12"/>
        <color theme="1"/>
        <rFont val="Aptos Narrow"/>
        <family val="2"/>
        <scheme val="minor"/>
      </rPr>
      <t xml:space="preserve">Row </t>
    </r>
    <r>
      <rPr>
        <b/>
        <sz val="12"/>
        <color theme="1"/>
        <rFont val="Aptos Narrow"/>
        <family val="2"/>
        <scheme val="minor"/>
      </rPr>
      <t xml:space="preserve">1 is  fixed, </t>
    </r>
    <r>
      <rPr>
        <sz val="12"/>
        <color theme="1"/>
        <rFont val="Aptos Narrow"/>
        <family val="2"/>
        <scheme val="minor"/>
      </rPr>
      <t>column changes when copied</t>
    </r>
  </si>
  <si>
    <t>For example :</t>
  </si>
  <si>
    <r>
      <t xml:space="preserve">column using </t>
    </r>
    <r>
      <rPr>
        <b/>
        <sz val="12"/>
        <color theme="1"/>
        <rFont val="Aptos Narrow"/>
        <family val="2"/>
        <scheme val="minor"/>
      </rPr>
      <t xml:space="preserve">$A1. </t>
    </r>
    <r>
      <rPr>
        <sz val="12"/>
        <color theme="1"/>
        <rFont val="Aptos Narrow"/>
        <family val="2"/>
        <scheme val="minor"/>
      </rPr>
      <t>This way, when I copy the formula across rows and columns, Excel calculates</t>
    </r>
  </si>
  <si>
    <t>correctly without changing the base values.</t>
  </si>
  <si>
    <r>
      <t xml:space="preserve">Suppose I’m creating a multiplication table. I fix the top row for multipliers using </t>
    </r>
    <r>
      <rPr>
        <b/>
        <sz val="12"/>
        <color theme="1"/>
        <rFont val="Aptos Narrow"/>
        <family val="2"/>
        <scheme val="minor"/>
      </rPr>
      <t xml:space="preserve">A$1 </t>
    </r>
    <r>
      <rPr>
        <sz val="12"/>
        <color theme="1"/>
        <rFont val="Aptos Narrow"/>
        <family val="2"/>
        <scheme val="minor"/>
      </rPr>
      <t>and fix the first</t>
    </r>
  </si>
  <si>
    <r>
      <rPr>
        <b/>
        <sz val="12"/>
        <color theme="1"/>
        <rFont val="Aptos Narrow"/>
        <family val="2"/>
        <scheme val="minor"/>
      </rPr>
      <t>$A1</t>
    </r>
    <r>
      <rPr>
        <sz val="12"/>
        <color theme="1"/>
        <rFont val="Aptos Narrow"/>
        <family val="2"/>
        <scheme val="minor"/>
      </rPr>
      <t xml:space="preserve"> - Column</t>
    </r>
    <r>
      <rPr>
        <b/>
        <sz val="12"/>
        <color theme="1"/>
        <rFont val="Aptos Narrow"/>
        <family val="2"/>
        <scheme val="minor"/>
      </rPr>
      <t xml:space="preserve"> A is fixed</t>
    </r>
    <r>
      <rPr>
        <sz val="12"/>
        <color theme="1"/>
        <rFont val="Aptos Narrow"/>
        <family val="2"/>
        <scheme val="minor"/>
      </rPr>
      <t>, row changes when copied</t>
    </r>
  </si>
  <si>
    <t>Write a formula to calculate the total sales of Car and Bicyle only</t>
  </si>
  <si>
    <t>Q.2</t>
  </si>
  <si>
    <r>
      <t xml:space="preserve">Total Sales of Car and Bicycle is </t>
    </r>
    <r>
      <rPr>
        <b/>
        <sz val="12"/>
        <color theme="1"/>
        <rFont val="Aptos Narrow"/>
        <family val="2"/>
        <scheme val="minor"/>
      </rPr>
      <t>510500.</t>
    </r>
  </si>
  <si>
    <t>Explaination</t>
  </si>
  <si>
    <t>For calculating the sales of Car and Bicycle, I added their price from</t>
  </si>
  <si>
    <r>
      <t xml:space="preserve">given dataset and formula I used is this : </t>
    </r>
    <r>
      <rPr>
        <b/>
        <sz val="12"/>
        <color theme="1"/>
        <rFont val="Aptos Narrow"/>
        <family val="2"/>
        <scheme val="minor"/>
      </rPr>
      <t>I5 + I6</t>
    </r>
  </si>
  <si>
    <t>Write a formula to calculate the average sales of items priced above 100 but less than 300</t>
  </si>
  <si>
    <t>Q.3</t>
  </si>
  <si>
    <t>Item</t>
  </si>
  <si>
    <t>Sales</t>
  </si>
  <si>
    <t>Item A</t>
  </si>
  <si>
    <t>Item B</t>
  </si>
  <si>
    <t>Item C</t>
  </si>
  <si>
    <r>
      <t xml:space="preserve">The average sales of items priced above 100 but less than 300 is </t>
    </r>
    <r>
      <rPr>
        <b/>
        <sz val="12"/>
        <color theme="1"/>
        <rFont val="Aptos Narrow"/>
        <family val="2"/>
        <scheme val="minor"/>
      </rPr>
      <t>1350.</t>
    </r>
  </si>
  <si>
    <t>For calculating the average sales of items priced above 100 but less than 300, I used this</t>
  </si>
  <si>
    <r>
      <t xml:space="preserve">formula : </t>
    </r>
    <r>
      <rPr>
        <b/>
        <sz val="12"/>
        <color theme="1"/>
        <rFont val="Aptos Narrow"/>
        <family val="2"/>
        <scheme val="minor"/>
      </rPr>
      <t>=AVERAGEIFS(K6:K8, J6:J8, "&gt;100", J6:J8, "&lt;300")</t>
    </r>
  </si>
  <si>
    <t>Pen</t>
  </si>
  <si>
    <t>South</t>
  </si>
  <si>
    <t>Vivek Malhotra</t>
  </si>
  <si>
    <t>Notebook</t>
  </si>
  <si>
    <t>North</t>
  </si>
  <si>
    <t>Ritika Jain</t>
  </si>
  <si>
    <t>Eraser</t>
  </si>
  <si>
    <t>West</t>
  </si>
  <si>
    <t>Kunal Singh</t>
  </si>
  <si>
    <t>Pencil</t>
  </si>
  <si>
    <t>East</t>
  </si>
  <si>
    <t>Sonia Verma</t>
  </si>
  <si>
    <t>Marker</t>
  </si>
  <si>
    <t>Rupal Nair</t>
  </si>
  <si>
    <t>Manish Das</t>
  </si>
  <si>
    <t>Yash Arora</t>
  </si>
  <si>
    <t>Shruti Sharma</t>
  </si>
  <si>
    <t>28-02-2024</t>
  </si>
  <si>
    <t>Neeraj Kapoor</t>
  </si>
  <si>
    <t>27-02-2024</t>
  </si>
  <si>
    <t>Sonali Gupta</t>
  </si>
  <si>
    <t>26-02-2024</t>
  </si>
  <si>
    <t>Arjun Mehta</t>
  </si>
  <si>
    <t>25-02-2024</t>
  </si>
  <si>
    <t>Ayesha Khan</t>
  </si>
  <si>
    <t>23-02-2024</t>
  </si>
  <si>
    <t>Komal Singh</t>
  </si>
  <si>
    <t>22-02-2024</t>
  </si>
  <si>
    <t>Ravi Nair</t>
  </si>
  <si>
    <t>21-02-2024</t>
  </si>
  <si>
    <t>Priyanka Das</t>
  </si>
  <si>
    <t>19-02-2024</t>
  </si>
  <si>
    <t>Akhil Jain</t>
  </si>
  <si>
    <t>18-02-2024</t>
  </si>
  <si>
    <t>Swati Arora</t>
  </si>
  <si>
    <t>17-02-2024</t>
  </si>
  <si>
    <t>Varun Sharma</t>
  </si>
  <si>
    <t>16-02-2024</t>
  </si>
  <si>
    <t>Kajal Rani</t>
  </si>
  <si>
    <t>14-02-2024</t>
  </si>
  <si>
    <t>Harsh Yadav</t>
  </si>
  <si>
    <t>13-02-2024</t>
  </si>
  <si>
    <t>Sanya Kapoor</t>
  </si>
  <si>
    <t>Anurag Mishra</t>
  </si>
  <si>
    <t>Preeti Joshi</t>
  </si>
  <si>
    <t>Rajesh Patel</t>
  </si>
  <si>
    <t>Aarti Sharma</t>
  </si>
  <si>
    <t>Sanjay Kumar</t>
  </si>
  <si>
    <t>Shreya Nair</t>
  </si>
  <si>
    <t>Aditya Singh</t>
  </si>
  <si>
    <t>Payal Mehta</t>
  </si>
  <si>
    <t>Deepak Rao</t>
  </si>
  <si>
    <t>Simran Kaur</t>
  </si>
  <si>
    <t>30-01-2024</t>
  </si>
  <si>
    <t>Tarun Verma</t>
  </si>
  <si>
    <t>29-01-2024</t>
  </si>
  <si>
    <t>Nidhi Sharma</t>
  </si>
  <si>
    <t>28-01-2024</t>
  </si>
  <si>
    <t>Rohan Gupta</t>
  </si>
  <si>
    <t>26-01-2024</t>
  </si>
  <si>
    <t>Muskan Jain</t>
  </si>
  <si>
    <t>24-01-2024</t>
  </si>
  <si>
    <t>Sahil Arora</t>
  </si>
  <si>
    <t>23-01-2024</t>
  </si>
  <si>
    <t>Divya Kapoor</t>
  </si>
  <si>
    <t>22-01-2024</t>
  </si>
  <si>
    <t>Aryan Joshi</t>
  </si>
  <si>
    <t>20-01-2024</t>
  </si>
  <si>
    <t>Karan Malhotra</t>
  </si>
  <si>
    <t>19-01-2024</t>
  </si>
  <si>
    <t>Ritika Sen</t>
  </si>
  <si>
    <t>18-01-2024</t>
  </si>
  <si>
    <t>Manoj Das</t>
  </si>
  <si>
    <t>17-01-2024</t>
  </si>
  <si>
    <t>Anjali Rao</t>
  </si>
  <si>
    <t>15-01-2024</t>
  </si>
  <si>
    <t>Meera Nair</t>
  </si>
  <si>
    <t>13-01-2024</t>
  </si>
  <si>
    <t>Vikas Gupta</t>
  </si>
  <si>
    <t>Sneha Patel</t>
  </si>
  <si>
    <t>Ankit Jain</t>
  </si>
  <si>
    <t>Pooja Mehta</t>
  </si>
  <si>
    <t>Rahul Singh</t>
  </si>
  <si>
    <t>Neha Verma</t>
  </si>
  <si>
    <t>Amit Sharma</t>
  </si>
  <si>
    <t>OrderDate</t>
  </si>
  <si>
    <t>UnitPrice</t>
  </si>
  <si>
    <t>Quantity</t>
  </si>
  <si>
    <t>Product</t>
  </si>
  <si>
    <t>Region</t>
  </si>
  <si>
    <t>CustomerName</t>
  </si>
  <si>
    <t>OrderID</t>
  </si>
  <si>
    <t>Q.4</t>
  </si>
  <si>
    <t>Count how many customer names are recorded.</t>
  </si>
  <si>
    <t>For calculating the count of customer names, I used</t>
  </si>
  <si>
    <r>
      <t xml:space="preserve">this formula : </t>
    </r>
    <r>
      <rPr>
        <b/>
        <sz val="12"/>
        <color theme="1"/>
        <rFont val="Aptos Narrow"/>
        <family val="2"/>
        <scheme val="minor"/>
      </rPr>
      <t>=COUNTA(B2:B51)</t>
    </r>
  </si>
  <si>
    <r>
      <rPr>
        <b/>
        <sz val="12"/>
        <color theme="1"/>
        <rFont val="Aptos Narrow"/>
        <family val="2"/>
        <scheme val="minor"/>
      </rPr>
      <t>50</t>
    </r>
    <r>
      <rPr>
        <sz val="12"/>
        <color theme="1"/>
        <rFont val="Aptos Narrow"/>
        <family val="2"/>
        <scheme val="minor"/>
      </rPr>
      <t xml:space="preserve"> customer names are recorded in the given dataset</t>
    </r>
  </si>
  <si>
    <t>Q.5</t>
  </si>
  <si>
    <t>Calculate the Total Sales for each row using a formula.</t>
  </si>
  <si>
    <t>TotalSales</t>
  </si>
  <si>
    <r>
      <t xml:space="preserve">Answer is the column </t>
    </r>
    <r>
      <rPr>
        <b/>
        <sz val="12"/>
        <color theme="1"/>
        <rFont val="Aptos Narrow"/>
        <family val="2"/>
        <scheme val="minor"/>
      </rPr>
      <t>(TotalSales)</t>
    </r>
    <r>
      <rPr>
        <sz val="12"/>
        <color theme="1"/>
        <rFont val="Aptos Narrow"/>
        <family val="2"/>
        <scheme val="minor"/>
      </rPr>
      <t xml:space="preserve"> that I've created</t>
    </r>
  </si>
  <si>
    <t>For calculating the total sales for each row, I multiplied</t>
  </si>
  <si>
    <r>
      <t xml:space="preserve">the </t>
    </r>
    <r>
      <rPr>
        <b/>
        <sz val="12"/>
        <color theme="1"/>
        <rFont val="Aptos Narrow"/>
        <family val="2"/>
        <scheme val="minor"/>
      </rPr>
      <t>Quantity to UnitPrice</t>
    </r>
    <r>
      <rPr>
        <sz val="12"/>
        <color theme="1"/>
        <rFont val="Aptos Narrow"/>
        <family val="2"/>
        <scheme val="minor"/>
      </rPr>
      <t xml:space="preserve">, i.e., in cell </t>
    </r>
    <r>
      <rPr>
        <b/>
        <sz val="12"/>
        <color theme="1"/>
        <rFont val="Aptos Narrow"/>
        <family val="2"/>
        <scheme val="minor"/>
      </rPr>
      <t xml:space="preserve">I2, </t>
    </r>
    <r>
      <rPr>
        <sz val="12"/>
        <color theme="1"/>
        <rFont val="Aptos Narrow"/>
        <family val="2"/>
        <scheme val="minor"/>
      </rPr>
      <t>I used this</t>
    </r>
  </si>
  <si>
    <r>
      <t xml:space="preserve">formula : </t>
    </r>
    <r>
      <rPr>
        <b/>
        <sz val="12"/>
        <color theme="1"/>
        <rFont val="Aptos Narrow"/>
        <family val="2"/>
        <scheme val="minor"/>
      </rPr>
      <t>E2 * F2</t>
    </r>
    <r>
      <rPr>
        <sz val="12"/>
        <color theme="1"/>
        <rFont val="Aptos Narrow"/>
        <family val="2"/>
        <scheme val="minor"/>
      </rPr>
      <t xml:space="preserve"> and then I drag down to </t>
    </r>
    <r>
      <rPr>
        <b/>
        <sz val="12"/>
        <color theme="1"/>
        <rFont val="Aptos Narrow"/>
        <family val="2"/>
        <scheme val="minor"/>
      </rPr>
      <t>I51</t>
    </r>
    <r>
      <rPr>
        <sz val="12"/>
        <color theme="1"/>
        <rFont val="Aptos Narrow"/>
        <family val="2"/>
        <scheme val="minor"/>
      </rPr>
      <t>. That's how</t>
    </r>
  </si>
  <si>
    <t>I got the total sales for each row.</t>
  </si>
  <si>
    <t>Calculate the total sales of Notebooks in the North region only.</t>
  </si>
  <si>
    <t>Q.6</t>
  </si>
  <si>
    <r>
      <t xml:space="preserve">Total sales of Notebooks in the North region is </t>
    </r>
    <r>
      <rPr>
        <b/>
        <sz val="12"/>
        <color theme="1"/>
        <rFont val="Aptos Narrow"/>
        <family val="2"/>
        <scheme val="minor"/>
      </rPr>
      <t>2900.</t>
    </r>
  </si>
  <si>
    <t>For calculating the total sales of Notebooks in North region, I used this</t>
  </si>
  <si>
    <r>
      <t>formula 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=SUMIFS(H2:H51,D2:D51, "Notebook",C2:C51, "North")</t>
    </r>
  </si>
  <si>
    <t>Q.7</t>
  </si>
  <si>
    <t>Create a column chart showing total sales by product.</t>
  </si>
  <si>
    <t>Q.8</t>
  </si>
  <si>
    <t>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</si>
</sst>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 tint="0.79998168889431442"/>
      <name val="Aptos Narrow"/>
      <family val="2"/>
      <scheme val="minor"/>
    </font>
    <font>
      <b/>
      <sz val="11"/>
      <color theme="4" tint="0.79998168889431442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6" tint="0.79998168889431442"/>
      <name val="Aptos Narrow"/>
      <family val="2"/>
      <scheme val="minor"/>
    </font>
    <font>
      <b/>
      <sz val="10"/>
      <color theme="1"/>
      <name val="Arial Unicode MS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7" fillId="4" borderId="2" xfId="0" applyFont="1" applyFill="1" applyBorder="1" applyAlignment="1">
      <alignment horizontal="center"/>
    </xf>
    <xf numFmtId="0" fontId="6" fillId="5" borderId="3" xfId="0" applyFont="1" applyFill="1" applyBorder="1"/>
    <xf numFmtId="0" fontId="2" fillId="5" borderId="4" xfId="0" applyFont="1" applyFill="1" applyBorder="1"/>
    <xf numFmtId="0" fontId="6" fillId="0" borderId="1" xfId="0" applyFont="1" applyBorder="1"/>
    <xf numFmtId="0" fontId="6" fillId="5" borderId="2" xfId="0" applyFont="1" applyFill="1" applyBorder="1"/>
    <xf numFmtId="0" fontId="6" fillId="5" borderId="4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6" fillId="5" borderId="1" xfId="0" applyFont="1" applyFill="1" applyBorder="1"/>
    <xf numFmtId="0" fontId="2" fillId="5" borderId="3" xfId="0" applyFont="1" applyFill="1" applyBorder="1"/>
    <xf numFmtId="0" fontId="6" fillId="5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3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right"/>
    </xf>
    <xf numFmtId="0" fontId="9" fillId="6" borderId="1" xfId="0" applyFont="1" applyFill="1" applyBorder="1"/>
    <xf numFmtId="164" fontId="9" fillId="6" borderId="1" xfId="0" applyNumberFormat="1" applyFont="1" applyFill="1" applyBorder="1" applyAlignment="1">
      <alignment horizontal="right"/>
    </xf>
    <xf numFmtId="0" fontId="0" fillId="6" borderId="1" xfId="0" applyFill="1" applyBorder="1"/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Q.7!$N$1</c:f>
              <c:strCache>
                <c:ptCount val="1"/>
                <c:pt idx="0">
                  <c:v>TotalSales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Q.7!$M$2:$M$6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Q.7!$N$2:$N$6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8-49C4-8690-D7EE26C9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1670704"/>
        <c:axId val="621671184"/>
      </c:barChart>
      <c:catAx>
        <c:axId val="6216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71184"/>
        <c:crosses val="autoZero"/>
        <c:auto val="1"/>
        <c:lblAlgn val="ctr"/>
        <c:lblOffset val="100"/>
        <c:noMultiLvlLbl val="0"/>
      </c:catAx>
      <c:valAx>
        <c:axId val="6216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7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Q.8!$H$1</c:f>
              <c:strCache>
                <c:ptCount val="1"/>
                <c:pt idx="0">
                  <c:v>TotalSales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Q.8!$G$2:$G$51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5-4795-A09C-1B5462423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868608"/>
        <c:axId val="822869568"/>
      </c:lineChart>
      <c:catAx>
        <c:axId val="82286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69568"/>
        <c:crosses val="autoZero"/>
        <c:auto val="1"/>
        <c:lblAlgn val="ctr"/>
        <c:lblOffset val="100"/>
        <c:noMultiLvlLbl val="0"/>
      </c:catAx>
      <c:valAx>
        <c:axId val="8228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6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6</xdr:row>
      <xdr:rowOff>3810</xdr:rowOff>
    </xdr:from>
    <xdr:to>
      <xdr:col>11</xdr:col>
      <xdr:colOff>464820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25B8A-43A6-5471-85B4-792716F74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205740</xdr:colOff>
      <xdr:row>4</xdr:row>
      <xdr:rowOff>3810</xdr:rowOff>
    </xdr:from>
    <xdr:to>
      <xdr:col>17</xdr:col>
      <xdr:colOff>708660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EAED1-3EA8-BCA6-4660-8219EAB9F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F414-97F0-4125-A2FE-752E1B7C19BA}">
  <sheetPr>
    <tabColor theme="1" tint="0.34998626667073579"/>
  </sheetPr>
  <dimension ref="D3:K27"/>
  <sheetViews>
    <sheetView tabSelected="1" zoomScale="101" workbookViewId="0">
      <selection activeCell="D3" sqref="D3"/>
    </sheetView>
  </sheetViews>
  <sheetFormatPr defaultRowHeight="15.6"/>
  <cols>
    <col min="1" max="4" width="8.88671875" style="4"/>
    <col min="5" max="5" width="87.21875" style="4" customWidth="1"/>
    <col min="6" max="6" width="8.88671875" style="4"/>
    <col min="7" max="7" width="15" style="4" customWidth="1"/>
    <col min="8" max="8" width="8.88671875" style="4"/>
    <col min="9" max="9" width="11.109375" style="4" customWidth="1"/>
    <col min="10" max="10" width="13" style="4" customWidth="1"/>
    <col min="11" max="16384" width="8.88671875" style="4"/>
  </cols>
  <sheetData>
    <row r="3" spans="4:11">
      <c r="D3" s="20" t="s">
        <v>1</v>
      </c>
      <c r="E3" s="2" t="s">
        <v>0</v>
      </c>
      <c r="G3" s="29" t="s">
        <v>8</v>
      </c>
      <c r="H3" s="29"/>
      <c r="I3" s="29"/>
      <c r="J3" s="29"/>
    </row>
    <row r="4" spans="4:11">
      <c r="D4" s="1" t="s">
        <v>2</v>
      </c>
      <c r="E4" s="5" t="s">
        <v>9</v>
      </c>
      <c r="G4" s="23" t="s">
        <v>3</v>
      </c>
      <c r="H4" s="23" t="s">
        <v>4</v>
      </c>
      <c r="I4" s="23" t="s">
        <v>14</v>
      </c>
      <c r="J4" s="23" t="s">
        <v>19</v>
      </c>
    </row>
    <row r="5" spans="4:11">
      <c r="E5" s="9" t="s">
        <v>10</v>
      </c>
      <c r="G5" s="8" t="s">
        <v>5</v>
      </c>
      <c r="H5" s="8">
        <v>500000</v>
      </c>
      <c r="I5" s="8">
        <f>H5+100</f>
        <v>500100</v>
      </c>
      <c r="J5" s="8">
        <f>$H$5-100</f>
        <v>499900</v>
      </c>
    </row>
    <row r="6" spans="4:11">
      <c r="E6" s="6" t="s">
        <v>17</v>
      </c>
      <c r="G6" s="8" t="s">
        <v>6</v>
      </c>
      <c r="H6" s="8">
        <v>10500</v>
      </c>
      <c r="I6" s="8">
        <f t="shared" ref="I6:I7" si="0">H6+100</f>
        <v>10600</v>
      </c>
      <c r="J6" s="8">
        <f t="shared" ref="J6:J7" si="1">$H$5-100</f>
        <v>499900</v>
      </c>
    </row>
    <row r="7" spans="4:11">
      <c r="E7" s="6" t="s">
        <v>12</v>
      </c>
      <c r="G7" s="8" t="s">
        <v>7</v>
      </c>
      <c r="H7" s="8">
        <v>25000</v>
      </c>
      <c r="I7" s="8">
        <f t="shared" si="0"/>
        <v>25100</v>
      </c>
      <c r="J7" s="8">
        <f t="shared" si="1"/>
        <v>499900</v>
      </c>
    </row>
    <row r="8" spans="4:11">
      <c r="E8" s="6" t="s">
        <v>15</v>
      </c>
    </row>
    <row r="9" spans="4:11">
      <c r="E9" s="7" t="s">
        <v>11</v>
      </c>
    </row>
    <row r="10" spans="4:11">
      <c r="E10" s="5" t="s">
        <v>13</v>
      </c>
      <c r="G10" s="11"/>
      <c r="H10" s="11"/>
      <c r="I10" s="11"/>
      <c r="J10" s="11"/>
      <c r="K10" s="11"/>
    </row>
    <row r="11" spans="4:11">
      <c r="E11" s="9" t="s">
        <v>16</v>
      </c>
      <c r="G11" s="13"/>
      <c r="H11" s="12"/>
      <c r="I11" s="12"/>
      <c r="J11" s="12"/>
      <c r="K11" s="12"/>
    </row>
    <row r="12" spans="4:11">
      <c r="E12" s="6" t="s">
        <v>18</v>
      </c>
      <c r="G12" s="13"/>
      <c r="H12" s="12"/>
      <c r="I12" s="12"/>
      <c r="J12" s="12"/>
      <c r="K12" s="12"/>
    </row>
    <row r="13" spans="4:11">
      <c r="E13" s="6" t="s">
        <v>20</v>
      </c>
      <c r="G13" s="13"/>
      <c r="H13" s="12"/>
      <c r="I13" s="12"/>
      <c r="J13" s="12"/>
      <c r="K13" s="12"/>
    </row>
    <row r="14" spans="4:11">
      <c r="E14" s="10" t="s">
        <v>21</v>
      </c>
      <c r="G14" s="13"/>
      <c r="H14" s="12"/>
      <c r="I14" s="12"/>
      <c r="J14" s="12"/>
      <c r="K14" s="12"/>
    </row>
    <row r="15" spans="4:11">
      <c r="E15" s="5" t="s">
        <v>22</v>
      </c>
    </row>
    <row r="16" spans="4:11">
      <c r="E16" s="9" t="s">
        <v>23</v>
      </c>
    </row>
    <row r="17" spans="5:5">
      <c r="E17" s="16" t="s">
        <v>24</v>
      </c>
    </row>
    <row r="18" spans="5:5">
      <c r="E18" s="6" t="s">
        <v>30</v>
      </c>
    </row>
    <row r="19" spans="5:5">
      <c r="E19" s="16" t="s">
        <v>25</v>
      </c>
    </row>
    <row r="20" spans="5:5">
      <c r="E20" s="16" t="s">
        <v>26</v>
      </c>
    </row>
    <row r="21" spans="5:5">
      <c r="E21" s="6" t="s">
        <v>29</v>
      </c>
    </row>
    <row r="22" spans="5:5">
      <c r="E22" s="6" t="s">
        <v>27</v>
      </c>
    </row>
    <row r="23" spans="5:5">
      <c r="E23" s="17" t="s">
        <v>28</v>
      </c>
    </row>
    <row r="25" spans="5:5">
      <c r="E25"/>
    </row>
    <row r="26" spans="5:5">
      <c r="E26"/>
    </row>
    <row r="27" spans="5:5">
      <c r="E27" s="14"/>
    </row>
  </sheetData>
  <mergeCells count="1">
    <mergeCell ref="G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9BCA-2440-4F2A-B519-ED05D3C6C65A}">
  <sheetPr>
    <tabColor theme="2" tint="-9.9978637043366805E-2"/>
  </sheetPr>
  <dimension ref="E3:I7"/>
  <sheetViews>
    <sheetView workbookViewId="0">
      <selection activeCell="E3" sqref="E3"/>
    </sheetView>
  </sheetViews>
  <sheetFormatPr defaultRowHeight="15.6"/>
  <cols>
    <col min="1" max="4" width="8.88671875" style="4"/>
    <col min="5" max="5" width="13.109375" style="4" customWidth="1"/>
    <col min="6" max="6" width="62.109375" style="4" customWidth="1"/>
    <col min="7" max="7" width="8.88671875" style="4"/>
    <col min="8" max="8" width="15.77734375" style="4" customWidth="1"/>
    <col min="9" max="9" width="11" style="4" customWidth="1"/>
    <col min="10" max="16384" width="8.88671875" style="4"/>
  </cols>
  <sheetData>
    <row r="3" spans="5:9">
      <c r="E3" s="20" t="s">
        <v>32</v>
      </c>
      <c r="F3" s="2" t="s">
        <v>31</v>
      </c>
      <c r="H3" s="30" t="s">
        <v>8</v>
      </c>
      <c r="I3" s="30"/>
    </row>
    <row r="4" spans="5:9">
      <c r="E4" s="18" t="s">
        <v>2</v>
      </c>
      <c r="F4" s="15" t="s">
        <v>33</v>
      </c>
      <c r="H4" s="3" t="s">
        <v>3</v>
      </c>
      <c r="I4" s="3" t="s">
        <v>4</v>
      </c>
    </row>
    <row r="5" spans="5:9">
      <c r="E5" s="19" t="s">
        <v>34</v>
      </c>
      <c r="F5" s="6" t="s">
        <v>35</v>
      </c>
      <c r="H5" s="8" t="s">
        <v>5</v>
      </c>
      <c r="I5" s="8">
        <v>500000</v>
      </c>
    </row>
    <row r="6" spans="5:9">
      <c r="F6" s="10" t="s">
        <v>36</v>
      </c>
      <c r="H6" s="8" t="s">
        <v>6</v>
      </c>
      <c r="I6" s="8">
        <v>10500</v>
      </c>
    </row>
    <row r="7" spans="5:9">
      <c r="H7" s="8" t="s">
        <v>7</v>
      </c>
      <c r="I7" s="8">
        <v>25000</v>
      </c>
    </row>
  </sheetData>
  <mergeCells count="1"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8DBF-9917-45B3-A20D-DF7B263F276F}">
  <sheetPr>
    <tabColor theme="1" tint="0.34998626667073579"/>
  </sheetPr>
  <dimension ref="E4:J8"/>
  <sheetViews>
    <sheetView workbookViewId="0">
      <selection activeCell="E4" sqref="E4"/>
    </sheetView>
  </sheetViews>
  <sheetFormatPr defaultRowHeight="15.6"/>
  <cols>
    <col min="1" max="4" width="8.88671875" style="4"/>
    <col min="5" max="5" width="13.21875" style="4" customWidth="1"/>
    <col min="6" max="6" width="84.33203125" style="4" customWidth="1"/>
    <col min="7" max="16384" width="8.88671875" style="4"/>
  </cols>
  <sheetData>
    <row r="4" spans="5:10">
      <c r="E4" s="20" t="s">
        <v>38</v>
      </c>
      <c r="F4" s="2" t="s">
        <v>37</v>
      </c>
      <c r="H4" s="29" t="s">
        <v>8</v>
      </c>
      <c r="I4" s="29"/>
      <c r="J4" s="29"/>
    </row>
    <row r="5" spans="5:10">
      <c r="E5" s="19" t="s">
        <v>2</v>
      </c>
      <c r="F5" s="6" t="s">
        <v>44</v>
      </c>
      <c r="H5" s="3" t="s">
        <v>39</v>
      </c>
      <c r="I5" s="3" t="s">
        <v>4</v>
      </c>
      <c r="J5" s="3" t="s">
        <v>40</v>
      </c>
    </row>
    <row r="6" spans="5:10">
      <c r="E6" s="19" t="s">
        <v>34</v>
      </c>
      <c r="F6" s="9" t="s">
        <v>45</v>
      </c>
      <c r="H6" s="8" t="s">
        <v>41</v>
      </c>
      <c r="I6" s="8">
        <v>90</v>
      </c>
      <c r="J6" s="8">
        <v>1000</v>
      </c>
    </row>
    <row r="7" spans="5:10">
      <c r="F7" s="10" t="s">
        <v>46</v>
      </c>
      <c r="H7" s="8" t="s">
        <v>42</v>
      </c>
      <c r="I7" s="8">
        <v>150</v>
      </c>
      <c r="J7" s="8">
        <v>1200</v>
      </c>
    </row>
    <row r="8" spans="5:10">
      <c r="H8" s="8" t="s">
        <v>43</v>
      </c>
      <c r="I8" s="8">
        <v>250</v>
      </c>
      <c r="J8" s="8">
        <v>1500</v>
      </c>
    </row>
  </sheetData>
  <mergeCells count="1"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C72A-B922-4630-B749-0360973E4231}">
  <sheetPr>
    <tabColor theme="2" tint="-9.9978637043366805E-2"/>
  </sheetPr>
  <dimension ref="A1:J51"/>
  <sheetViews>
    <sheetView workbookViewId="0">
      <selection activeCell="I3" sqref="I3"/>
    </sheetView>
  </sheetViews>
  <sheetFormatPr defaultRowHeight="14.4"/>
  <cols>
    <col min="1" max="1" width="10.88671875" customWidth="1"/>
    <col min="2" max="2" width="15.33203125" customWidth="1"/>
    <col min="3" max="3" width="13.44140625" customWidth="1"/>
    <col min="4" max="4" width="14" customWidth="1"/>
    <col min="5" max="5" width="12" customWidth="1"/>
    <col min="6" max="6" width="12.109375" customWidth="1"/>
    <col min="7" max="7" width="13.6640625" customWidth="1"/>
    <col min="9" max="9" width="12.88671875" customWidth="1"/>
    <col min="10" max="10" width="49.33203125" customWidth="1"/>
  </cols>
  <sheetData>
    <row r="1" spans="1:10">
      <c r="A1" s="24" t="s">
        <v>138</v>
      </c>
      <c r="B1" s="24" t="s">
        <v>137</v>
      </c>
      <c r="C1" s="24" t="s">
        <v>136</v>
      </c>
      <c r="D1" s="24" t="s">
        <v>135</v>
      </c>
      <c r="E1" s="24" t="s">
        <v>134</v>
      </c>
      <c r="F1" s="24" t="s">
        <v>133</v>
      </c>
      <c r="G1" s="24" t="s">
        <v>132</v>
      </c>
    </row>
    <row r="2" spans="1:10">
      <c r="A2" s="25">
        <v>1001</v>
      </c>
      <c r="B2" s="26" t="s">
        <v>131</v>
      </c>
      <c r="C2" s="26" t="s">
        <v>51</v>
      </c>
      <c r="D2" s="26" t="s">
        <v>50</v>
      </c>
      <c r="E2" s="25">
        <v>10</v>
      </c>
      <c r="F2" s="25">
        <v>50</v>
      </c>
      <c r="G2" s="27">
        <v>45413</v>
      </c>
    </row>
    <row r="3" spans="1:10" ht="15.6">
      <c r="A3" s="25">
        <v>1002</v>
      </c>
      <c r="B3" s="26" t="s">
        <v>130</v>
      </c>
      <c r="C3" s="26" t="s">
        <v>48</v>
      </c>
      <c r="D3" s="26" t="s">
        <v>47</v>
      </c>
      <c r="E3" s="25">
        <v>20</v>
      </c>
      <c r="F3" s="25">
        <v>10</v>
      </c>
      <c r="G3" s="27">
        <v>45444</v>
      </c>
      <c r="I3" s="20" t="s">
        <v>139</v>
      </c>
      <c r="J3" s="2" t="s">
        <v>140</v>
      </c>
    </row>
    <row r="4" spans="1:10" ht="15.6">
      <c r="A4" s="25">
        <v>1003</v>
      </c>
      <c r="B4" s="26" t="s">
        <v>129</v>
      </c>
      <c r="C4" s="26" t="s">
        <v>57</v>
      </c>
      <c r="D4" s="26" t="s">
        <v>59</v>
      </c>
      <c r="E4" s="25">
        <v>15</v>
      </c>
      <c r="F4" s="25">
        <v>25</v>
      </c>
      <c r="G4" s="27">
        <v>45474</v>
      </c>
      <c r="I4" s="19" t="s">
        <v>2</v>
      </c>
      <c r="J4" s="9" t="s">
        <v>143</v>
      </c>
    </row>
    <row r="5" spans="1:10" ht="15.6">
      <c r="A5" s="25">
        <v>1004</v>
      </c>
      <c r="B5" s="26" t="s">
        <v>128</v>
      </c>
      <c r="C5" s="26" t="s">
        <v>54</v>
      </c>
      <c r="D5" s="26" t="s">
        <v>50</v>
      </c>
      <c r="E5" s="25">
        <v>5</v>
      </c>
      <c r="F5" s="25">
        <v>50</v>
      </c>
      <c r="G5" s="27">
        <v>45505</v>
      </c>
      <c r="I5" s="19" t="s">
        <v>34</v>
      </c>
      <c r="J5" s="9" t="s">
        <v>141</v>
      </c>
    </row>
    <row r="6" spans="1:10" ht="15.6">
      <c r="A6" s="25">
        <v>1005</v>
      </c>
      <c r="B6" s="26" t="s">
        <v>127</v>
      </c>
      <c r="C6" s="26" t="s">
        <v>51</v>
      </c>
      <c r="D6" s="26" t="s">
        <v>56</v>
      </c>
      <c r="E6" s="25">
        <v>30</v>
      </c>
      <c r="F6" s="25">
        <v>5</v>
      </c>
      <c r="G6" s="27">
        <v>45566</v>
      </c>
      <c r="J6" s="10" t="s">
        <v>142</v>
      </c>
    </row>
    <row r="7" spans="1:10">
      <c r="A7" s="25">
        <v>1006</v>
      </c>
      <c r="B7" s="26" t="s">
        <v>126</v>
      </c>
      <c r="C7" s="26" t="s">
        <v>48</v>
      </c>
      <c r="D7" s="26" t="s">
        <v>50</v>
      </c>
      <c r="E7" s="25">
        <v>12</v>
      </c>
      <c r="F7" s="25">
        <v>50</v>
      </c>
      <c r="G7" s="27">
        <v>45597</v>
      </c>
    </row>
    <row r="8" spans="1:10">
      <c r="A8" s="25">
        <v>1007</v>
      </c>
      <c r="B8" s="26" t="s">
        <v>125</v>
      </c>
      <c r="C8" s="26" t="s">
        <v>57</v>
      </c>
      <c r="D8" s="26" t="s">
        <v>53</v>
      </c>
      <c r="E8" s="25">
        <v>25</v>
      </c>
      <c r="F8" s="25">
        <v>8</v>
      </c>
      <c r="G8" s="25" t="s">
        <v>124</v>
      </c>
    </row>
    <row r="9" spans="1:10">
      <c r="A9" s="25">
        <v>1008</v>
      </c>
      <c r="B9" s="26" t="s">
        <v>123</v>
      </c>
      <c r="C9" s="26" t="s">
        <v>54</v>
      </c>
      <c r="D9" s="26" t="s">
        <v>47</v>
      </c>
      <c r="E9" s="25">
        <v>18</v>
      </c>
      <c r="F9" s="25">
        <v>10</v>
      </c>
      <c r="G9" s="25" t="s">
        <v>122</v>
      </c>
    </row>
    <row r="10" spans="1:10">
      <c r="A10" s="25">
        <v>1009</v>
      </c>
      <c r="B10" s="26" t="s">
        <v>121</v>
      </c>
      <c r="C10" s="26" t="s">
        <v>51</v>
      </c>
      <c r="D10" s="26" t="s">
        <v>59</v>
      </c>
      <c r="E10" s="25">
        <v>22</v>
      </c>
      <c r="F10" s="25">
        <v>25</v>
      </c>
      <c r="G10" s="25" t="s">
        <v>120</v>
      </c>
    </row>
    <row r="11" spans="1:10">
      <c r="A11" s="25">
        <v>1010</v>
      </c>
      <c r="B11" s="26" t="s">
        <v>119</v>
      </c>
      <c r="C11" s="26" t="s">
        <v>48</v>
      </c>
      <c r="D11" s="26" t="s">
        <v>50</v>
      </c>
      <c r="E11" s="25">
        <v>8</v>
      </c>
      <c r="F11" s="25">
        <v>50</v>
      </c>
      <c r="G11" s="25" t="s">
        <v>118</v>
      </c>
    </row>
    <row r="12" spans="1:10">
      <c r="A12" s="25">
        <v>1011</v>
      </c>
      <c r="B12" s="26" t="s">
        <v>117</v>
      </c>
      <c r="C12" s="26" t="s">
        <v>57</v>
      </c>
      <c r="D12" s="26" t="s">
        <v>56</v>
      </c>
      <c r="E12" s="25">
        <v>40</v>
      </c>
      <c r="F12" s="25">
        <v>5</v>
      </c>
      <c r="G12" s="25" t="s">
        <v>116</v>
      </c>
    </row>
    <row r="13" spans="1:10">
      <c r="A13" s="25">
        <v>1012</v>
      </c>
      <c r="B13" s="26" t="s">
        <v>115</v>
      </c>
      <c r="C13" s="26" t="s">
        <v>54</v>
      </c>
      <c r="D13" s="26" t="s">
        <v>53</v>
      </c>
      <c r="E13" s="25">
        <v>35</v>
      </c>
      <c r="F13" s="25">
        <v>8</v>
      </c>
      <c r="G13" s="25" t="s">
        <v>114</v>
      </c>
    </row>
    <row r="14" spans="1:10">
      <c r="A14" s="25">
        <v>1013</v>
      </c>
      <c r="B14" s="26" t="s">
        <v>113</v>
      </c>
      <c r="C14" s="26" t="s">
        <v>51</v>
      </c>
      <c r="D14" s="26" t="s">
        <v>50</v>
      </c>
      <c r="E14" s="25">
        <v>14</v>
      </c>
      <c r="F14" s="25">
        <v>50</v>
      </c>
      <c r="G14" s="25" t="s">
        <v>112</v>
      </c>
    </row>
    <row r="15" spans="1:10">
      <c r="A15" s="25">
        <v>1014</v>
      </c>
      <c r="B15" s="26" t="s">
        <v>111</v>
      </c>
      <c r="C15" s="26" t="s">
        <v>48</v>
      </c>
      <c r="D15" s="26" t="s">
        <v>47</v>
      </c>
      <c r="E15" s="25">
        <v>28</v>
      </c>
      <c r="F15" s="25">
        <v>10</v>
      </c>
      <c r="G15" s="25" t="s">
        <v>110</v>
      </c>
    </row>
    <row r="16" spans="1:10">
      <c r="A16" s="25">
        <v>1015</v>
      </c>
      <c r="B16" s="26" t="s">
        <v>109</v>
      </c>
      <c r="C16" s="26" t="s">
        <v>57</v>
      </c>
      <c r="D16" s="26" t="s">
        <v>59</v>
      </c>
      <c r="E16" s="25">
        <v>12</v>
      </c>
      <c r="F16" s="25">
        <v>25</v>
      </c>
      <c r="G16" s="25" t="s">
        <v>108</v>
      </c>
    </row>
    <row r="17" spans="1:7">
      <c r="A17" s="25">
        <v>1016</v>
      </c>
      <c r="B17" s="26" t="s">
        <v>107</v>
      </c>
      <c r="C17" s="26" t="s">
        <v>54</v>
      </c>
      <c r="D17" s="26" t="s">
        <v>56</v>
      </c>
      <c r="E17" s="25">
        <v>25</v>
      </c>
      <c r="F17" s="25">
        <v>5</v>
      </c>
      <c r="G17" s="25" t="s">
        <v>106</v>
      </c>
    </row>
    <row r="18" spans="1:7">
      <c r="A18" s="25">
        <v>1017</v>
      </c>
      <c r="B18" s="26" t="s">
        <v>105</v>
      </c>
      <c r="C18" s="26" t="s">
        <v>51</v>
      </c>
      <c r="D18" s="26" t="s">
        <v>53</v>
      </c>
      <c r="E18" s="25">
        <v>20</v>
      </c>
      <c r="F18" s="25">
        <v>8</v>
      </c>
      <c r="G18" s="25" t="s">
        <v>104</v>
      </c>
    </row>
    <row r="19" spans="1:7">
      <c r="A19" s="25">
        <v>1018</v>
      </c>
      <c r="B19" s="26" t="s">
        <v>103</v>
      </c>
      <c r="C19" s="26" t="s">
        <v>48</v>
      </c>
      <c r="D19" s="26" t="s">
        <v>50</v>
      </c>
      <c r="E19" s="25">
        <v>10</v>
      </c>
      <c r="F19" s="25">
        <v>50</v>
      </c>
      <c r="G19" s="25" t="s">
        <v>102</v>
      </c>
    </row>
    <row r="20" spans="1:7">
      <c r="A20" s="25">
        <v>1019</v>
      </c>
      <c r="B20" s="26" t="s">
        <v>101</v>
      </c>
      <c r="C20" s="26" t="s">
        <v>57</v>
      </c>
      <c r="D20" s="26" t="s">
        <v>47</v>
      </c>
      <c r="E20" s="25">
        <v>15</v>
      </c>
      <c r="F20" s="25">
        <v>10</v>
      </c>
      <c r="G20" s="25" t="s">
        <v>100</v>
      </c>
    </row>
    <row r="21" spans="1:7">
      <c r="A21" s="25">
        <v>1020</v>
      </c>
      <c r="B21" s="26" t="s">
        <v>99</v>
      </c>
      <c r="C21" s="26" t="s">
        <v>54</v>
      </c>
      <c r="D21" s="26" t="s">
        <v>59</v>
      </c>
      <c r="E21" s="25">
        <v>18</v>
      </c>
      <c r="F21" s="25">
        <v>25</v>
      </c>
      <c r="G21" s="27">
        <v>45293</v>
      </c>
    </row>
    <row r="22" spans="1:7">
      <c r="A22" s="25">
        <v>1021</v>
      </c>
      <c r="B22" s="26" t="s">
        <v>98</v>
      </c>
      <c r="C22" s="26" t="s">
        <v>51</v>
      </c>
      <c r="D22" s="26" t="s">
        <v>50</v>
      </c>
      <c r="E22" s="25">
        <v>9</v>
      </c>
      <c r="F22" s="25">
        <v>50</v>
      </c>
      <c r="G22" s="27">
        <v>45324</v>
      </c>
    </row>
    <row r="23" spans="1:7">
      <c r="A23" s="25">
        <v>1022</v>
      </c>
      <c r="B23" s="26" t="s">
        <v>97</v>
      </c>
      <c r="C23" s="26" t="s">
        <v>48</v>
      </c>
      <c r="D23" s="26" t="s">
        <v>56</v>
      </c>
      <c r="E23" s="25">
        <v>35</v>
      </c>
      <c r="F23" s="25">
        <v>5</v>
      </c>
      <c r="G23" s="27">
        <v>45353</v>
      </c>
    </row>
    <row r="24" spans="1:7">
      <c r="A24" s="25">
        <v>1023</v>
      </c>
      <c r="B24" s="26" t="s">
        <v>96</v>
      </c>
      <c r="C24" s="26" t="s">
        <v>57</v>
      </c>
      <c r="D24" s="26" t="s">
        <v>53</v>
      </c>
      <c r="E24" s="25">
        <v>30</v>
      </c>
      <c r="F24" s="25">
        <v>8</v>
      </c>
      <c r="G24" s="27">
        <v>45384</v>
      </c>
    </row>
    <row r="25" spans="1:7">
      <c r="A25" s="25">
        <v>1024</v>
      </c>
      <c r="B25" s="26" t="s">
        <v>95</v>
      </c>
      <c r="C25" s="26" t="s">
        <v>54</v>
      </c>
      <c r="D25" s="26" t="s">
        <v>50</v>
      </c>
      <c r="E25" s="25">
        <v>11</v>
      </c>
      <c r="F25" s="25">
        <v>50</v>
      </c>
      <c r="G25" s="27">
        <v>45445</v>
      </c>
    </row>
    <row r="26" spans="1:7">
      <c r="A26" s="25">
        <v>1025</v>
      </c>
      <c r="B26" s="26" t="s">
        <v>94</v>
      </c>
      <c r="C26" s="26" t="s">
        <v>51</v>
      </c>
      <c r="D26" s="26" t="s">
        <v>47</v>
      </c>
      <c r="E26" s="25">
        <v>14</v>
      </c>
      <c r="F26" s="25">
        <v>10</v>
      </c>
      <c r="G26" s="27">
        <v>45475</v>
      </c>
    </row>
    <row r="27" spans="1:7">
      <c r="A27" s="25">
        <v>1026</v>
      </c>
      <c r="B27" s="26" t="s">
        <v>93</v>
      </c>
      <c r="C27" s="26" t="s">
        <v>48</v>
      </c>
      <c r="D27" s="26" t="s">
        <v>59</v>
      </c>
      <c r="E27" s="25">
        <v>16</v>
      </c>
      <c r="F27" s="25">
        <v>25</v>
      </c>
      <c r="G27" s="27">
        <v>45506</v>
      </c>
    </row>
    <row r="28" spans="1:7">
      <c r="A28" s="25">
        <v>1027</v>
      </c>
      <c r="B28" s="26" t="s">
        <v>92</v>
      </c>
      <c r="C28" s="26" t="s">
        <v>57</v>
      </c>
      <c r="D28" s="26" t="s">
        <v>56</v>
      </c>
      <c r="E28" s="25">
        <v>22</v>
      </c>
      <c r="F28" s="25">
        <v>5</v>
      </c>
      <c r="G28" s="27">
        <v>45537</v>
      </c>
    </row>
    <row r="29" spans="1:7">
      <c r="A29" s="25">
        <v>1028</v>
      </c>
      <c r="B29" s="26" t="s">
        <v>91</v>
      </c>
      <c r="C29" s="26" t="s">
        <v>54</v>
      </c>
      <c r="D29" s="26" t="s">
        <v>53</v>
      </c>
      <c r="E29" s="25">
        <v>27</v>
      </c>
      <c r="F29" s="25">
        <v>8</v>
      </c>
      <c r="G29" s="27">
        <v>45567</v>
      </c>
    </row>
    <row r="30" spans="1:7">
      <c r="A30" s="25">
        <v>1029</v>
      </c>
      <c r="B30" s="26" t="s">
        <v>90</v>
      </c>
      <c r="C30" s="26" t="s">
        <v>51</v>
      </c>
      <c r="D30" s="26" t="s">
        <v>50</v>
      </c>
      <c r="E30" s="25">
        <v>13</v>
      </c>
      <c r="F30" s="25">
        <v>50</v>
      </c>
      <c r="G30" s="27">
        <v>45628</v>
      </c>
    </row>
    <row r="31" spans="1:7">
      <c r="A31" s="25">
        <v>1030</v>
      </c>
      <c r="B31" s="26" t="s">
        <v>89</v>
      </c>
      <c r="C31" s="26" t="s">
        <v>48</v>
      </c>
      <c r="D31" s="26" t="s">
        <v>47</v>
      </c>
      <c r="E31" s="25">
        <v>32</v>
      </c>
      <c r="F31" s="25">
        <v>10</v>
      </c>
      <c r="G31" s="25" t="s">
        <v>88</v>
      </c>
    </row>
    <row r="32" spans="1:7">
      <c r="A32" s="25">
        <v>1031</v>
      </c>
      <c r="B32" s="26" t="s">
        <v>87</v>
      </c>
      <c r="C32" s="26" t="s">
        <v>57</v>
      </c>
      <c r="D32" s="26" t="s">
        <v>59</v>
      </c>
      <c r="E32" s="25">
        <v>10</v>
      </c>
      <c r="F32" s="25">
        <v>25</v>
      </c>
      <c r="G32" s="25" t="s">
        <v>86</v>
      </c>
    </row>
    <row r="33" spans="1:7">
      <c r="A33" s="25">
        <v>1032</v>
      </c>
      <c r="B33" s="26" t="s">
        <v>85</v>
      </c>
      <c r="C33" s="26" t="s">
        <v>54</v>
      </c>
      <c r="D33" s="26" t="s">
        <v>56</v>
      </c>
      <c r="E33" s="25">
        <v>18</v>
      </c>
      <c r="F33" s="25">
        <v>5</v>
      </c>
      <c r="G33" s="25" t="s">
        <v>84</v>
      </c>
    </row>
    <row r="34" spans="1:7">
      <c r="A34" s="25">
        <v>1033</v>
      </c>
      <c r="B34" s="26" t="s">
        <v>83</v>
      </c>
      <c r="C34" s="26" t="s">
        <v>51</v>
      </c>
      <c r="D34" s="26" t="s">
        <v>53</v>
      </c>
      <c r="E34" s="25">
        <v>22</v>
      </c>
      <c r="F34" s="25">
        <v>8</v>
      </c>
      <c r="G34" s="25" t="s">
        <v>82</v>
      </c>
    </row>
    <row r="35" spans="1:7">
      <c r="A35" s="25">
        <v>1034</v>
      </c>
      <c r="B35" s="26" t="s">
        <v>81</v>
      </c>
      <c r="C35" s="26" t="s">
        <v>48</v>
      </c>
      <c r="D35" s="26" t="s">
        <v>50</v>
      </c>
      <c r="E35" s="25">
        <v>17</v>
      </c>
      <c r="F35" s="25">
        <v>50</v>
      </c>
      <c r="G35" s="25" t="s">
        <v>80</v>
      </c>
    </row>
    <row r="36" spans="1:7">
      <c r="A36" s="25">
        <v>1035</v>
      </c>
      <c r="B36" s="26" t="s">
        <v>79</v>
      </c>
      <c r="C36" s="26" t="s">
        <v>57</v>
      </c>
      <c r="D36" s="26" t="s">
        <v>47</v>
      </c>
      <c r="E36" s="25">
        <v>19</v>
      </c>
      <c r="F36" s="25">
        <v>10</v>
      </c>
      <c r="G36" s="25" t="s">
        <v>78</v>
      </c>
    </row>
    <row r="37" spans="1:7">
      <c r="A37" s="25">
        <v>1036</v>
      </c>
      <c r="B37" s="26" t="s">
        <v>77</v>
      </c>
      <c r="C37" s="26" t="s">
        <v>54</v>
      </c>
      <c r="D37" s="26" t="s">
        <v>59</v>
      </c>
      <c r="E37" s="25">
        <v>15</v>
      </c>
      <c r="F37" s="25">
        <v>25</v>
      </c>
      <c r="G37" s="25" t="s">
        <v>76</v>
      </c>
    </row>
    <row r="38" spans="1:7">
      <c r="A38" s="25">
        <v>1037</v>
      </c>
      <c r="B38" s="26" t="s">
        <v>75</v>
      </c>
      <c r="C38" s="26" t="s">
        <v>51</v>
      </c>
      <c r="D38" s="26" t="s">
        <v>56</v>
      </c>
      <c r="E38" s="25">
        <v>28</v>
      </c>
      <c r="F38" s="25">
        <v>5</v>
      </c>
      <c r="G38" s="25" t="s">
        <v>74</v>
      </c>
    </row>
    <row r="39" spans="1:7">
      <c r="A39" s="25">
        <v>1038</v>
      </c>
      <c r="B39" s="26" t="s">
        <v>73</v>
      </c>
      <c r="C39" s="26" t="s">
        <v>48</v>
      </c>
      <c r="D39" s="26" t="s">
        <v>53</v>
      </c>
      <c r="E39" s="25">
        <v>24</v>
      </c>
      <c r="F39" s="25">
        <v>8</v>
      </c>
      <c r="G39" s="25" t="s">
        <v>72</v>
      </c>
    </row>
    <row r="40" spans="1:7">
      <c r="A40" s="25">
        <v>1039</v>
      </c>
      <c r="B40" s="26" t="s">
        <v>71</v>
      </c>
      <c r="C40" s="26" t="s">
        <v>57</v>
      </c>
      <c r="D40" s="26" t="s">
        <v>50</v>
      </c>
      <c r="E40" s="25">
        <v>16</v>
      </c>
      <c r="F40" s="25">
        <v>50</v>
      </c>
      <c r="G40" s="25" t="s">
        <v>70</v>
      </c>
    </row>
    <row r="41" spans="1:7">
      <c r="A41" s="25">
        <v>1040</v>
      </c>
      <c r="B41" s="26" t="s">
        <v>69</v>
      </c>
      <c r="C41" s="26" t="s">
        <v>54</v>
      </c>
      <c r="D41" s="26" t="s">
        <v>47</v>
      </c>
      <c r="E41" s="25">
        <v>27</v>
      </c>
      <c r="F41" s="25">
        <v>10</v>
      </c>
      <c r="G41" s="25" t="s">
        <v>68</v>
      </c>
    </row>
    <row r="42" spans="1:7">
      <c r="A42" s="25">
        <v>1041</v>
      </c>
      <c r="B42" s="26" t="s">
        <v>67</v>
      </c>
      <c r="C42" s="26" t="s">
        <v>51</v>
      </c>
      <c r="D42" s="26" t="s">
        <v>59</v>
      </c>
      <c r="E42" s="25">
        <v>21</v>
      </c>
      <c r="F42" s="25">
        <v>25</v>
      </c>
      <c r="G42" s="25" t="s">
        <v>66</v>
      </c>
    </row>
    <row r="43" spans="1:7">
      <c r="A43" s="25">
        <v>1042</v>
      </c>
      <c r="B43" s="26" t="s">
        <v>65</v>
      </c>
      <c r="C43" s="26" t="s">
        <v>48</v>
      </c>
      <c r="D43" s="26" t="s">
        <v>56</v>
      </c>
      <c r="E43" s="25">
        <v>30</v>
      </c>
      <c r="F43" s="25">
        <v>5</v>
      </c>
      <c r="G43" s="25" t="s">
        <v>64</v>
      </c>
    </row>
    <row r="44" spans="1:7">
      <c r="A44" s="25">
        <v>1043</v>
      </c>
      <c r="B44" s="26" t="s">
        <v>63</v>
      </c>
      <c r="C44" s="26" t="s">
        <v>57</v>
      </c>
      <c r="D44" s="26" t="s">
        <v>53</v>
      </c>
      <c r="E44" s="25">
        <v>26</v>
      </c>
      <c r="F44" s="25">
        <v>8</v>
      </c>
      <c r="G44" s="27">
        <v>45294</v>
      </c>
    </row>
    <row r="45" spans="1:7">
      <c r="A45" s="25">
        <v>1044</v>
      </c>
      <c r="B45" s="26" t="s">
        <v>62</v>
      </c>
      <c r="C45" s="26" t="s">
        <v>54</v>
      </c>
      <c r="D45" s="26" t="s">
        <v>50</v>
      </c>
      <c r="E45" s="25">
        <v>14</v>
      </c>
      <c r="F45" s="25">
        <v>50</v>
      </c>
      <c r="G45" s="27">
        <v>45325</v>
      </c>
    </row>
    <row r="46" spans="1:7">
      <c r="A46" s="25">
        <v>1045</v>
      </c>
      <c r="B46" s="26" t="s">
        <v>61</v>
      </c>
      <c r="C46" s="26" t="s">
        <v>51</v>
      </c>
      <c r="D46" s="26" t="s">
        <v>47</v>
      </c>
      <c r="E46" s="25">
        <v>20</v>
      </c>
      <c r="F46" s="25">
        <v>10</v>
      </c>
      <c r="G46" s="27">
        <v>45354</v>
      </c>
    </row>
    <row r="47" spans="1:7">
      <c r="A47" s="25">
        <v>1046</v>
      </c>
      <c r="B47" s="26" t="s">
        <v>60</v>
      </c>
      <c r="C47" s="26" t="s">
        <v>48</v>
      </c>
      <c r="D47" s="26" t="s">
        <v>59</v>
      </c>
      <c r="E47" s="25">
        <v>17</v>
      </c>
      <c r="F47" s="25">
        <v>25</v>
      </c>
      <c r="G47" s="27">
        <v>45385</v>
      </c>
    </row>
    <row r="48" spans="1:7">
      <c r="A48" s="25">
        <v>1047</v>
      </c>
      <c r="B48" s="26" t="s">
        <v>58</v>
      </c>
      <c r="C48" s="26" t="s">
        <v>57</v>
      </c>
      <c r="D48" s="26" t="s">
        <v>56</v>
      </c>
      <c r="E48" s="25">
        <v>19</v>
      </c>
      <c r="F48" s="25">
        <v>5</v>
      </c>
      <c r="G48" s="27">
        <v>45415</v>
      </c>
    </row>
    <row r="49" spans="1:7">
      <c r="A49" s="25">
        <v>1048</v>
      </c>
      <c r="B49" s="26" t="s">
        <v>55</v>
      </c>
      <c r="C49" s="26" t="s">
        <v>54</v>
      </c>
      <c r="D49" s="26" t="s">
        <v>53</v>
      </c>
      <c r="E49" s="25">
        <v>32</v>
      </c>
      <c r="F49" s="25">
        <v>8</v>
      </c>
      <c r="G49" s="27">
        <v>45446</v>
      </c>
    </row>
    <row r="50" spans="1:7">
      <c r="A50" s="25">
        <v>1049</v>
      </c>
      <c r="B50" s="26" t="s">
        <v>52</v>
      </c>
      <c r="C50" s="26" t="s">
        <v>51</v>
      </c>
      <c r="D50" s="26" t="s">
        <v>50</v>
      </c>
      <c r="E50" s="25">
        <v>12</v>
      </c>
      <c r="F50" s="25">
        <v>50</v>
      </c>
      <c r="G50" s="27">
        <v>45476</v>
      </c>
    </row>
    <row r="51" spans="1:7">
      <c r="A51" s="25">
        <v>1050</v>
      </c>
      <c r="B51" s="26" t="s">
        <v>49</v>
      </c>
      <c r="C51" s="26" t="s">
        <v>48</v>
      </c>
      <c r="D51" s="26" t="s">
        <v>47</v>
      </c>
      <c r="E51" s="25">
        <v>25</v>
      </c>
      <c r="F51" s="25">
        <v>10</v>
      </c>
      <c r="G51" s="27">
        <v>45507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BF25-DB07-41F9-8F5C-69D400E1C00F}">
  <sheetPr>
    <tabColor theme="1" tint="0.34998626667073579"/>
  </sheetPr>
  <dimension ref="A1:L51"/>
  <sheetViews>
    <sheetView workbookViewId="0">
      <selection activeCell="K3" sqref="K3"/>
    </sheetView>
  </sheetViews>
  <sheetFormatPr defaultRowHeight="15.6"/>
  <cols>
    <col min="1" max="1" width="11" customWidth="1"/>
    <col min="2" max="2" width="16.6640625" customWidth="1"/>
    <col min="3" max="3" width="10.77734375" customWidth="1"/>
    <col min="4" max="4" width="13.6640625" customWidth="1"/>
    <col min="5" max="5" width="10.77734375" customWidth="1"/>
    <col min="6" max="6" width="11.109375" customWidth="1"/>
    <col min="7" max="7" width="14.44140625" customWidth="1"/>
    <col min="8" max="8" width="7.6640625" customWidth="1"/>
    <col min="9" max="9" width="12.21875" customWidth="1"/>
    <col min="10" max="10" width="8.33203125" customWidth="1"/>
    <col min="11" max="11" width="13.33203125" style="4" customWidth="1"/>
    <col min="12" max="12" width="51.6640625" style="4" customWidth="1"/>
  </cols>
  <sheetData>
    <row r="1" spans="1:12">
      <c r="A1" s="24" t="s">
        <v>138</v>
      </c>
      <c r="B1" s="24" t="s">
        <v>137</v>
      </c>
      <c r="C1" s="24" t="s">
        <v>136</v>
      </c>
      <c r="D1" s="24" t="s">
        <v>135</v>
      </c>
      <c r="E1" s="24" t="s">
        <v>134</v>
      </c>
      <c r="F1" s="24" t="s">
        <v>133</v>
      </c>
      <c r="G1" s="24" t="s">
        <v>132</v>
      </c>
      <c r="I1" s="24" t="s">
        <v>146</v>
      </c>
    </row>
    <row r="2" spans="1:12">
      <c r="A2" s="25">
        <v>1001</v>
      </c>
      <c r="B2" s="26" t="s">
        <v>131</v>
      </c>
      <c r="C2" s="26" t="s">
        <v>51</v>
      </c>
      <c r="D2" s="26" t="s">
        <v>50</v>
      </c>
      <c r="E2" s="25">
        <v>10</v>
      </c>
      <c r="F2" s="25">
        <v>50</v>
      </c>
      <c r="G2" s="27">
        <v>45413</v>
      </c>
      <c r="I2" s="28">
        <f t="shared" ref="I2:I33" si="0">E2*F2</f>
        <v>500</v>
      </c>
    </row>
    <row r="3" spans="1:12">
      <c r="A3" s="25">
        <v>1002</v>
      </c>
      <c r="B3" s="26" t="s">
        <v>130</v>
      </c>
      <c r="C3" s="26" t="s">
        <v>48</v>
      </c>
      <c r="D3" s="26" t="s">
        <v>47</v>
      </c>
      <c r="E3" s="25">
        <v>20</v>
      </c>
      <c r="F3" s="25">
        <v>10</v>
      </c>
      <c r="G3" s="27">
        <v>45444</v>
      </c>
      <c r="I3" s="28">
        <f t="shared" si="0"/>
        <v>200</v>
      </c>
      <c r="K3" s="20" t="s">
        <v>144</v>
      </c>
      <c r="L3" s="2" t="s">
        <v>145</v>
      </c>
    </row>
    <row r="4" spans="1:12">
      <c r="A4" s="25">
        <v>1003</v>
      </c>
      <c r="B4" s="26" t="s">
        <v>129</v>
      </c>
      <c r="C4" s="26" t="s">
        <v>57</v>
      </c>
      <c r="D4" s="26" t="s">
        <v>59</v>
      </c>
      <c r="E4" s="25">
        <v>15</v>
      </c>
      <c r="F4" s="25">
        <v>25</v>
      </c>
      <c r="G4" s="27">
        <v>45474</v>
      </c>
      <c r="I4" s="28">
        <f t="shared" si="0"/>
        <v>375</v>
      </c>
      <c r="K4" s="19" t="s">
        <v>2</v>
      </c>
      <c r="L4" s="9" t="s">
        <v>147</v>
      </c>
    </row>
    <row r="5" spans="1:12">
      <c r="A5" s="25">
        <v>1004</v>
      </c>
      <c r="B5" s="26" t="s">
        <v>128</v>
      </c>
      <c r="C5" s="26" t="s">
        <v>54</v>
      </c>
      <c r="D5" s="26" t="s">
        <v>50</v>
      </c>
      <c r="E5" s="25">
        <v>5</v>
      </c>
      <c r="F5" s="25">
        <v>50</v>
      </c>
      <c r="G5" s="27">
        <v>45505</v>
      </c>
      <c r="I5" s="28">
        <f t="shared" si="0"/>
        <v>250</v>
      </c>
      <c r="K5" s="19" t="s">
        <v>34</v>
      </c>
      <c r="L5" s="9" t="s">
        <v>148</v>
      </c>
    </row>
    <row r="6" spans="1:12">
      <c r="A6" s="25">
        <v>1005</v>
      </c>
      <c r="B6" s="26" t="s">
        <v>127</v>
      </c>
      <c r="C6" s="26" t="s">
        <v>51</v>
      </c>
      <c r="D6" s="26" t="s">
        <v>56</v>
      </c>
      <c r="E6" s="25">
        <v>30</v>
      </c>
      <c r="F6" s="25">
        <v>5</v>
      </c>
      <c r="G6" s="27">
        <v>45566</v>
      </c>
      <c r="I6" s="28">
        <f t="shared" si="0"/>
        <v>150</v>
      </c>
      <c r="L6" s="6" t="s">
        <v>149</v>
      </c>
    </row>
    <row r="7" spans="1:12">
      <c r="A7" s="25">
        <v>1006</v>
      </c>
      <c r="B7" s="26" t="s">
        <v>126</v>
      </c>
      <c r="C7" s="26" t="s">
        <v>48</v>
      </c>
      <c r="D7" s="26" t="s">
        <v>50</v>
      </c>
      <c r="E7" s="25">
        <v>12</v>
      </c>
      <c r="F7" s="25">
        <v>50</v>
      </c>
      <c r="G7" s="27">
        <v>45597</v>
      </c>
      <c r="I7" s="28">
        <f t="shared" si="0"/>
        <v>600</v>
      </c>
      <c r="L7" s="6" t="s">
        <v>150</v>
      </c>
    </row>
    <row r="8" spans="1:12">
      <c r="A8" s="25">
        <v>1007</v>
      </c>
      <c r="B8" s="26" t="s">
        <v>125</v>
      </c>
      <c r="C8" s="26" t="s">
        <v>57</v>
      </c>
      <c r="D8" s="26" t="s">
        <v>53</v>
      </c>
      <c r="E8" s="25">
        <v>25</v>
      </c>
      <c r="F8" s="25">
        <v>8</v>
      </c>
      <c r="G8" s="25" t="s">
        <v>124</v>
      </c>
      <c r="I8" s="28">
        <f t="shared" si="0"/>
        <v>200</v>
      </c>
      <c r="L8" s="10" t="s">
        <v>151</v>
      </c>
    </row>
    <row r="9" spans="1:12">
      <c r="A9" s="25">
        <v>1008</v>
      </c>
      <c r="B9" s="26" t="s">
        <v>123</v>
      </c>
      <c r="C9" s="26" t="s">
        <v>54</v>
      </c>
      <c r="D9" s="26" t="s">
        <v>47</v>
      </c>
      <c r="E9" s="25">
        <v>18</v>
      </c>
      <c r="F9" s="25">
        <v>10</v>
      </c>
      <c r="G9" s="25" t="s">
        <v>122</v>
      </c>
      <c r="I9" s="28">
        <f t="shared" si="0"/>
        <v>180</v>
      </c>
    </row>
    <row r="10" spans="1:12">
      <c r="A10" s="25">
        <v>1009</v>
      </c>
      <c r="B10" s="26" t="s">
        <v>121</v>
      </c>
      <c r="C10" s="26" t="s">
        <v>51</v>
      </c>
      <c r="D10" s="26" t="s">
        <v>59</v>
      </c>
      <c r="E10" s="25">
        <v>22</v>
      </c>
      <c r="F10" s="25">
        <v>25</v>
      </c>
      <c r="G10" s="25" t="s">
        <v>120</v>
      </c>
      <c r="I10" s="28">
        <f t="shared" si="0"/>
        <v>550</v>
      </c>
    </row>
    <row r="11" spans="1:12">
      <c r="A11" s="25">
        <v>1010</v>
      </c>
      <c r="B11" s="26" t="s">
        <v>119</v>
      </c>
      <c r="C11" s="26" t="s">
        <v>48</v>
      </c>
      <c r="D11" s="26" t="s">
        <v>50</v>
      </c>
      <c r="E11" s="25">
        <v>8</v>
      </c>
      <c r="F11" s="25">
        <v>50</v>
      </c>
      <c r="G11" s="25" t="s">
        <v>118</v>
      </c>
      <c r="I11" s="28">
        <f t="shared" si="0"/>
        <v>400</v>
      </c>
    </row>
    <row r="12" spans="1:12">
      <c r="A12" s="25">
        <v>1011</v>
      </c>
      <c r="B12" s="26" t="s">
        <v>117</v>
      </c>
      <c r="C12" s="26" t="s">
        <v>57</v>
      </c>
      <c r="D12" s="26" t="s">
        <v>56</v>
      </c>
      <c r="E12" s="25">
        <v>40</v>
      </c>
      <c r="F12" s="25">
        <v>5</v>
      </c>
      <c r="G12" s="25" t="s">
        <v>116</v>
      </c>
      <c r="I12" s="28">
        <f t="shared" si="0"/>
        <v>200</v>
      </c>
    </row>
    <row r="13" spans="1:12">
      <c r="A13" s="25">
        <v>1012</v>
      </c>
      <c r="B13" s="26" t="s">
        <v>115</v>
      </c>
      <c r="C13" s="26" t="s">
        <v>54</v>
      </c>
      <c r="D13" s="26" t="s">
        <v>53</v>
      </c>
      <c r="E13" s="25">
        <v>35</v>
      </c>
      <c r="F13" s="25">
        <v>8</v>
      </c>
      <c r="G13" s="25" t="s">
        <v>114</v>
      </c>
      <c r="I13" s="28">
        <f t="shared" si="0"/>
        <v>280</v>
      </c>
    </row>
    <row r="14" spans="1:12">
      <c r="A14" s="25">
        <v>1013</v>
      </c>
      <c r="B14" s="26" t="s">
        <v>113</v>
      </c>
      <c r="C14" s="26" t="s">
        <v>51</v>
      </c>
      <c r="D14" s="26" t="s">
        <v>50</v>
      </c>
      <c r="E14" s="25">
        <v>14</v>
      </c>
      <c r="F14" s="25">
        <v>50</v>
      </c>
      <c r="G14" s="25" t="s">
        <v>112</v>
      </c>
      <c r="I14" s="28">
        <f t="shared" si="0"/>
        <v>700</v>
      </c>
    </row>
    <row r="15" spans="1:12">
      <c r="A15" s="25">
        <v>1014</v>
      </c>
      <c r="B15" s="26" t="s">
        <v>111</v>
      </c>
      <c r="C15" s="26" t="s">
        <v>48</v>
      </c>
      <c r="D15" s="26" t="s">
        <v>47</v>
      </c>
      <c r="E15" s="25">
        <v>28</v>
      </c>
      <c r="F15" s="25">
        <v>10</v>
      </c>
      <c r="G15" s="25" t="s">
        <v>110</v>
      </c>
      <c r="I15" s="28">
        <f t="shared" si="0"/>
        <v>280</v>
      </c>
    </row>
    <row r="16" spans="1:12">
      <c r="A16" s="25">
        <v>1015</v>
      </c>
      <c r="B16" s="26" t="s">
        <v>109</v>
      </c>
      <c r="C16" s="26" t="s">
        <v>57</v>
      </c>
      <c r="D16" s="26" t="s">
        <v>59</v>
      </c>
      <c r="E16" s="25">
        <v>12</v>
      </c>
      <c r="F16" s="25">
        <v>25</v>
      </c>
      <c r="G16" s="25" t="s">
        <v>108</v>
      </c>
      <c r="I16" s="28">
        <f t="shared" si="0"/>
        <v>300</v>
      </c>
    </row>
    <row r="17" spans="1:9">
      <c r="A17" s="25">
        <v>1016</v>
      </c>
      <c r="B17" s="26" t="s">
        <v>107</v>
      </c>
      <c r="C17" s="26" t="s">
        <v>54</v>
      </c>
      <c r="D17" s="26" t="s">
        <v>56</v>
      </c>
      <c r="E17" s="25">
        <v>25</v>
      </c>
      <c r="F17" s="25">
        <v>5</v>
      </c>
      <c r="G17" s="25" t="s">
        <v>106</v>
      </c>
      <c r="I17" s="28">
        <f t="shared" si="0"/>
        <v>125</v>
      </c>
    </row>
    <row r="18" spans="1:9">
      <c r="A18" s="25">
        <v>1017</v>
      </c>
      <c r="B18" s="26" t="s">
        <v>105</v>
      </c>
      <c r="C18" s="26" t="s">
        <v>51</v>
      </c>
      <c r="D18" s="26" t="s">
        <v>53</v>
      </c>
      <c r="E18" s="25">
        <v>20</v>
      </c>
      <c r="F18" s="25">
        <v>8</v>
      </c>
      <c r="G18" s="25" t="s">
        <v>104</v>
      </c>
      <c r="I18" s="28">
        <f t="shared" si="0"/>
        <v>160</v>
      </c>
    </row>
    <row r="19" spans="1:9">
      <c r="A19" s="25">
        <v>1018</v>
      </c>
      <c r="B19" s="26" t="s">
        <v>103</v>
      </c>
      <c r="C19" s="26" t="s">
        <v>48</v>
      </c>
      <c r="D19" s="26" t="s">
        <v>50</v>
      </c>
      <c r="E19" s="25">
        <v>10</v>
      </c>
      <c r="F19" s="25">
        <v>50</v>
      </c>
      <c r="G19" s="25" t="s">
        <v>102</v>
      </c>
      <c r="I19" s="28">
        <f t="shared" si="0"/>
        <v>500</v>
      </c>
    </row>
    <row r="20" spans="1:9">
      <c r="A20" s="25">
        <v>1019</v>
      </c>
      <c r="B20" s="26" t="s">
        <v>101</v>
      </c>
      <c r="C20" s="26" t="s">
        <v>57</v>
      </c>
      <c r="D20" s="26" t="s">
        <v>47</v>
      </c>
      <c r="E20" s="25">
        <v>15</v>
      </c>
      <c r="F20" s="25">
        <v>10</v>
      </c>
      <c r="G20" s="25" t="s">
        <v>100</v>
      </c>
      <c r="I20" s="28">
        <f t="shared" si="0"/>
        <v>150</v>
      </c>
    </row>
    <row r="21" spans="1:9">
      <c r="A21" s="25">
        <v>1020</v>
      </c>
      <c r="B21" s="26" t="s">
        <v>99</v>
      </c>
      <c r="C21" s="26" t="s">
        <v>54</v>
      </c>
      <c r="D21" s="26" t="s">
        <v>59</v>
      </c>
      <c r="E21" s="25">
        <v>18</v>
      </c>
      <c r="F21" s="25">
        <v>25</v>
      </c>
      <c r="G21" s="27">
        <v>45293</v>
      </c>
      <c r="I21" s="28">
        <f t="shared" si="0"/>
        <v>450</v>
      </c>
    </row>
    <row r="22" spans="1:9">
      <c r="A22" s="25">
        <v>1021</v>
      </c>
      <c r="B22" s="26" t="s">
        <v>98</v>
      </c>
      <c r="C22" s="26" t="s">
        <v>51</v>
      </c>
      <c r="D22" s="26" t="s">
        <v>50</v>
      </c>
      <c r="E22" s="25">
        <v>9</v>
      </c>
      <c r="F22" s="25">
        <v>50</v>
      </c>
      <c r="G22" s="27">
        <v>45324</v>
      </c>
      <c r="I22" s="28">
        <f t="shared" si="0"/>
        <v>450</v>
      </c>
    </row>
    <row r="23" spans="1:9">
      <c r="A23" s="25">
        <v>1022</v>
      </c>
      <c r="B23" s="26" t="s">
        <v>97</v>
      </c>
      <c r="C23" s="26" t="s">
        <v>48</v>
      </c>
      <c r="D23" s="26" t="s">
        <v>56</v>
      </c>
      <c r="E23" s="25">
        <v>35</v>
      </c>
      <c r="F23" s="25">
        <v>5</v>
      </c>
      <c r="G23" s="27">
        <v>45353</v>
      </c>
      <c r="I23" s="28">
        <f t="shared" si="0"/>
        <v>175</v>
      </c>
    </row>
    <row r="24" spans="1:9">
      <c r="A24" s="25">
        <v>1023</v>
      </c>
      <c r="B24" s="26" t="s">
        <v>96</v>
      </c>
      <c r="C24" s="26" t="s">
        <v>57</v>
      </c>
      <c r="D24" s="26" t="s">
        <v>53</v>
      </c>
      <c r="E24" s="25">
        <v>30</v>
      </c>
      <c r="F24" s="25">
        <v>8</v>
      </c>
      <c r="G24" s="27">
        <v>45384</v>
      </c>
      <c r="I24" s="28">
        <f t="shared" si="0"/>
        <v>240</v>
      </c>
    </row>
    <row r="25" spans="1:9">
      <c r="A25" s="25">
        <v>1024</v>
      </c>
      <c r="B25" s="26" t="s">
        <v>95</v>
      </c>
      <c r="C25" s="26" t="s">
        <v>54</v>
      </c>
      <c r="D25" s="26" t="s">
        <v>50</v>
      </c>
      <c r="E25" s="25">
        <v>11</v>
      </c>
      <c r="F25" s="25">
        <v>50</v>
      </c>
      <c r="G25" s="27">
        <v>45445</v>
      </c>
      <c r="I25" s="28">
        <f t="shared" si="0"/>
        <v>550</v>
      </c>
    </row>
    <row r="26" spans="1:9">
      <c r="A26" s="25">
        <v>1025</v>
      </c>
      <c r="B26" s="26" t="s">
        <v>94</v>
      </c>
      <c r="C26" s="26" t="s">
        <v>51</v>
      </c>
      <c r="D26" s="26" t="s">
        <v>47</v>
      </c>
      <c r="E26" s="25">
        <v>14</v>
      </c>
      <c r="F26" s="25">
        <v>10</v>
      </c>
      <c r="G26" s="27">
        <v>45475</v>
      </c>
      <c r="I26" s="28">
        <f t="shared" si="0"/>
        <v>140</v>
      </c>
    </row>
    <row r="27" spans="1:9">
      <c r="A27" s="25">
        <v>1026</v>
      </c>
      <c r="B27" s="26" t="s">
        <v>93</v>
      </c>
      <c r="C27" s="26" t="s">
        <v>48</v>
      </c>
      <c r="D27" s="26" t="s">
        <v>59</v>
      </c>
      <c r="E27" s="25">
        <v>16</v>
      </c>
      <c r="F27" s="25">
        <v>25</v>
      </c>
      <c r="G27" s="27">
        <v>45506</v>
      </c>
      <c r="I27" s="28">
        <f t="shared" si="0"/>
        <v>400</v>
      </c>
    </row>
    <row r="28" spans="1:9">
      <c r="A28" s="25">
        <v>1027</v>
      </c>
      <c r="B28" s="26" t="s">
        <v>92</v>
      </c>
      <c r="C28" s="26" t="s">
        <v>57</v>
      </c>
      <c r="D28" s="26" t="s">
        <v>56</v>
      </c>
      <c r="E28" s="25">
        <v>22</v>
      </c>
      <c r="F28" s="25">
        <v>5</v>
      </c>
      <c r="G28" s="27">
        <v>45537</v>
      </c>
      <c r="I28" s="28">
        <f t="shared" si="0"/>
        <v>110</v>
      </c>
    </row>
    <row r="29" spans="1:9">
      <c r="A29" s="25">
        <v>1028</v>
      </c>
      <c r="B29" s="26" t="s">
        <v>91</v>
      </c>
      <c r="C29" s="26" t="s">
        <v>54</v>
      </c>
      <c r="D29" s="26" t="s">
        <v>53</v>
      </c>
      <c r="E29" s="25">
        <v>27</v>
      </c>
      <c r="F29" s="25">
        <v>8</v>
      </c>
      <c r="G29" s="27">
        <v>45567</v>
      </c>
      <c r="I29" s="28">
        <f t="shared" si="0"/>
        <v>216</v>
      </c>
    </row>
    <row r="30" spans="1:9">
      <c r="A30" s="25">
        <v>1029</v>
      </c>
      <c r="B30" s="26" t="s">
        <v>90</v>
      </c>
      <c r="C30" s="26" t="s">
        <v>51</v>
      </c>
      <c r="D30" s="26" t="s">
        <v>50</v>
      </c>
      <c r="E30" s="25">
        <v>13</v>
      </c>
      <c r="F30" s="25">
        <v>50</v>
      </c>
      <c r="G30" s="27">
        <v>45628</v>
      </c>
      <c r="I30" s="28">
        <f t="shared" si="0"/>
        <v>650</v>
      </c>
    </row>
    <row r="31" spans="1:9">
      <c r="A31" s="25">
        <v>1030</v>
      </c>
      <c r="B31" s="26" t="s">
        <v>89</v>
      </c>
      <c r="C31" s="26" t="s">
        <v>48</v>
      </c>
      <c r="D31" s="26" t="s">
        <v>47</v>
      </c>
      <c r="E31" s="25">
        <v>32</v>
      </c>
      <c r="F31" s="25">
        <v>10</v>
      </c>
      <c r="G31" s="25" t="s">
        <v>88</v>
      </c>
      <c r="I31" s="28">
        <f t="shared" si="0"/>
        <v>320</v>
      </c>
    </row>
    <row r="32" spans="1:9">
      <c r="A32" s="25">
        <v>1031</v>
      </c>
      <c r="B32" s="26" t="s">
        <v>87</v>
      </c>
      <c r="C32" s="26" t="s">
        <v>57</v>
      </c>
      <c r="D32" s="26" t="s">
        <v>59</v>
      </c>
      <c r="E32" s="25">
        <v>10</v>
      </c>
      <c r="F32" s="25">
        <v>25</v>
      </c>
      <c r="G32" s="25" t="s">
        <v>86</v>
      </c>
      <c r="I32" s="28">
        <f t="shared" si="0"/>
        <v>250</v>
      </c>
    </row>
    <row r="33" spans="1:9">
      <c r="A33" s="25">
        <v>1032</v>
      </c>
      <c r="B33" s="26" t="s">
        <v>85</v>
      </c>
      <c r="C33" s="26" t="s">
        <v>54</v>
      </c>
      <c r="D33" s="26" t="s">
        <v>56</v>
      </c>
      <c r="E33" s="25">
        <v>18</v>
      </c>
      <c r="F33" s="25">
        <v>5</v>
      </c>
      <c r="G33" s="25" t="s">
        <v>84</v>
      </c>
      <c r="I33" s="28">
        <f t="shared" si="0"/>
        <v>90</v>
      </c>
    </row>
    <row r="34" spans="1:9">
      <c r="A34" s="25">
        <v>1033</v>
      </c>
      <c r="B34" s="26" t="s">
        <v>83</v>
      </c>
      <c r="C34" s="26" t="s">
        <v>51</v>
      </c>
      <c r="D34" s="26" t="s">
        <v>53</v>
      </c>
      <c r="E34" s="25">
        <v>22</v>
      </c>
      <c r="F34" s="25">
        <v>8</v>
      </c>
      <c r="G34" s="25" t="s">
        <v>82</v>
      </c>
      <c r="I34" s="28">
        <f t="shared" ref="I34:I51" si="1">E34*F34</f>
        <v>176</v>
      </c>
    </row>
    <row r="35" spans="1:9">
      <c r="A35" s="25">
        <v>1034</v>
      </c>
      <c r="B35" s="26" t="s">
        <v>81</v>
      </c>
      <c r="C35" s="26" t="s">
        <v>48</v>
      </c>
      <c r="D35" s="26" t="s">
        <v>50</v>
      </c>
      <c r="E35" s="25">
        <v>17</v>
      </c>
      <c r="F35" s="25">
        <v>50</v>
      </c>
      <c r="G35" s="25" t="s">
        <v>80</v>
      </c>
      <c r="I35" s="28">
        <f t="shared" si="1"/>
        <v>850</v>
      </c>
    </row>
    <row r="36" spans="1:9">
      <c r="A36" s="25">
        <v>1035</v>
      </c>
      <c r="B36" s="26" t="s">
        <v>79</v>
      </c>
      <c r="C36" s="26" t="s">
        <v>57</v>
      </c>
      <c r="D36" s="26" t="s">
        <v>47</v>
      </c>
      <c r="E36" s="25">
        <v>19</v>
      </c>
      <c r="F36" s="25">
        <v>10</v>
      </c>
      <c r="G36" s="25" t="s">
        <v>78</v>
      </c>
      <c r="I36" s="28">
        <f t="shared" si="1"/>
        <v>190</v>
      </c>
    </row>
    <row r="37" spans="1:9">
      <c r="A37" s="25">
        <v>1036</v>
      </c>
      <c r="B37" s="26" t="s">
        <v>77</v>
      </c>
      <c r="C37" s="26" t="s">
        <v>54</v>
      </c>
      <c r="D37" s="26" t="s">
        <v>59</v>
      </c>
      <c r="E37" s="25">
        <v>15</v>
      </c>
      <c r="F37" s="25">
        <v>25</v>
      </c>
      <c r="G37" s="25" t="s">
        <v>76</v>
      </c>
      <c r="I37" s="28">
        <f t="shared" si="1"/>
        <v>375</v>
      </c>
    </row>
    <row r="38" spans="1:9">
      <c r="A38" s="25">
        <v>1037</v>
      </c>
      <c r="B38" s="26" t="s">
        <v>75</v>
      </c>
      <c r="C38" s="26" t="s">
        <v>51</v>
      </c>
      <c r="D38" s="26" t="s">
        <v>56</v>
      </c>
      <c r="E38" s="25">
        <v>28</v>
      </c>
      <c r="F38" s="25">
        <v>5</v>
      </c>
      <c r="G38" s="25" t="s">
        <v>74</v>
      </c>
      <c r="I38" s="28">
        <f t="shared" si="1"/>
        <v>140</v>
      </c>
    </row>
    <row r="39" spans="1:9">
      <c r="A39" s="25">
        <v>1038</v>
      </c>
      <c r="B39" s="26" t="s">
        <v>73</v>
      </c>
      <c r="C39" s="26" t="s">
        <v>48</v>
      </c>
      <c r="D39" s="26" t="s">
        <v>53</v>
      </c>
      <c r="E39" s="25">
        <v>24</v>
      </c>
      <c r="F39" s="25">
        <v>8</v>
      </c>
      <c r="G39" s="25" t="s">
        <v>72</v>
      </c>
      <c r="I39" s="28">
        <f t="shared" si="1"/>
        <v>192</v>
      </c>
    </row>
    <row r="40" spans="1:9">
      <c r="A40" s="25">
        <v>1039</v>
      </c>
      <c r="B40" s="26" t="s">
        <v>71</v>
      </c>
      <c r="C40" s="26" t="s">
        <v>57</v>
      </c>
      <c r="D40" s="26" t="s">
        <v>50</v>
      </c>
      <c r="E40" s="25">
        <v>16</v>
      </c>
      <c r="F40" s="25">
        <v>50</v>
      </c>
      <c r="G40" s="25" t="s">
        <v>70</v>
      </c>
      <c r="I40" s="28">
        <f t="shared" si="1"/>
        <v>800</v>
      </c>
    </row>
    <row r="41" spans="1:9">
      <c r="A41" s="25">
        <v>1040</v>
      </c>
      <c r="B41" s="26" t="s">
        <v>69</v>
      </c>
      <c r="C41" s="26" t="s">
        <v>54</v>
      </c>
      <c r="D41" s="26" t="s">
        <v>47</v>
      </c>
      <c r="E41" s="25">
        <v>27</v>
      </c>
      <c r="F41" s="25">
        <v>10</v>
      </c>
      <c r="G41" s="25" t="s">
        <v>68</v>
      </c>
      <c r="I41" s="28">
        <f t="shared" si="1"/>
        <v>270</v>
      </c>
    </row>
    <row r="42" spans="1:9">
      <c r="A42" s="25">
        <v>1041</v>
      </c>
      <c r="B42" s="26" t="s">
        <v>67</v>
      </c>
      <c r="C42" s="26" t="s">
        <v>51</v>
      </c>
      <c r="D42" s="26" t="s">
        <v>59</v>
      </c>
      <c r="E42" s="25">
        <v>21</v>
      </c>
      <c r="F42" s="25">
        <v>25</v>
      </c>
      <c r="G42" s="25" t="s">
        <v>66</v>
      </c>
      <c r="I42" s="28">
        <f t="shared" si="1"/>
        <v>525</v>
      </c>
    </row>
    <row r="43" spans="1:9">
      <c r="A43" s="25">
        <v>1042</v>
      </c>
      <c r="B43" s="26" t="s">
        <v>65</v>
      </c>
      <c r="C43" s="26" t="s">
        <v>48</v>
      </c>
      <c r="D43" s="26" t="s">
        <v>56</v>
      </c>
      <c r="E43" s="25">
        <v>30</v>
      </c>
      <c r="F43" s="25">
        <v>5</v>
      </c>
      <c r="G43" s="25" t="s">
        <v>64</v>
      </c>
      <c r="I43" s="28">
        <f t="shared" si="1"/>
        <v>150</v>
      </c>
    </row>
    <row r="44" spans="1:9">
      <c r="A44" s="25">
        <v>1043</v>
      </c>
      <c r="B44" s="26" t="s">
        <v>63</v>
      </c>
      <c r="C44" s="26" t="s">
        <v>57</v>
      </c>
      <c r="D44" s="26" t="s">
        <v>53</v>
      </c>
      <c r="E44" s="25">
        <v>26</v>
      </c>
      <c r="F44" s="25">
        <v>8</v>
      </c>
      <c r="G44" s="27">
        <v>45294</v>
      </c>
      <c r="I44" s="28">
        <f t="shared" si="1"/>
        <v>208</v>
      </c>
    </row>
    <row r="45" spans="1:9">
      <c r="A45" s="25">
        <v>1044</v>
      </c>
      <c r="B45" s="26" t="s">
        <v>62</v>
      </c>
      <c r="C45" s="26" t="s">
        <v>54</v>
      </c>
      <c r="D45" s="26" t="s">
        <v>50</v>
      </c>
      <c r="E45" s="25">
        <v>14</v>
      </c>
      <c r="F45" s="25">
        <v>50</v>
      </c>
      <c r="G45" s="27">
        <v>45325</v>
      </c>
      <c r="I45" s="28">
        <f t="shared" si="1"/>
        <v>700</v>
      </c>
    </row>
    <row r="46" spans="1:9">
      <c r="A46" s="25">
        <v>1045</v>
      </c>
      <c r="B46" s="26" t="s">
        <v>61</v>
      </c>
      <c r="C46" s="26" t="s">
        <v>51</v>
      </c>
      <c r="D46" s="26" t="s">
        <v>47</v>
      </c>
      <c r="E46" s="25">
        <v>20</v>
      </c>
      <c r="F46" s="25">
        <v>10</v>
      </c>
      <c r="G46" s="27">
        <v>45354</v>
      </c>
      <c r="I46" s="28">
        <f t="shared" si="1"/>
        <v>200</v>
      </c>
    </row>
    <row r="47" spans="1:9">
      <c r="A47" s="25">
        <v>1046</v>
      </c>
      <c r="B47" s="26" t="s">
        <v>60</v>
      </c>
      <c r="C47" s="26" t="s">
        <v>48</v>
      </c>
      <c r="D47" s="26" t="s">
        <v>59</v>
      </c>
      <c r="E47" s="25">
        <v>17</v>
      </c>
      <c r="F47" s="25">
        <v>25</v>
      </c>
      <c r="G47" s="27">
        <v>45385</v>
      </c>
      <c r="I47" s="28">
        <f t="shared" si="1"/>
        <v>425</v>
      </c>
    </row>
    <row r="48" spans="1:9">
      <c r="A48" s="25">
        <v>1047</v>
      </c>
      <c r="B48" s="26" t="s">
        <v>58</v>
      </c>
      <c r="C48" s="26" t="s">
        <v>57</v>
      </c>
      <c r="D48" s="26" t="s">
        <v>56</v>
      </c>
      <c r="E48" s="25">
        <v>19</v>
      </c>
      <c r="F48" s="25">
        <v>5</v>
      </c>
      <c r="G48" s="27">
        <v>45415</v>
      </c>
      <c r="I48" s="28">
        <f t="shared" si="1"/>
        <v>95</v>
      </c>
    </row>
    <row r="49" spans="1:9">
      <c r="A49" s="25">
        <v>1048</v>
      </c>
      <c r="B49" s="26" t="s">
        <v>55</v>
      </c>
      <c r="C49" s="26" t="s">
        <v>54</v>
      </c>
      <c r="D49" s="26" t="s">
        <v>53</v>
      </c>
      <c r="E49" s="25">
        <v>32</v>
      </c>
      <c r="F49" s="25">
        <v>8</v>
      </c>
      <c r="G49" s="27">
        <v>45446</v>
      </c>
      <c r="I49" s="28">
        <f t="shared" si="1"/>
        <v>256</v>
      </c>
    </row>
    <row r="50" spans="1:9">
      <c r="A50" s="25">
        <v>1049</v>
      </c>
      <c r="B50" s="26" t="s">
        <v>52</v>
      </c>
      <c r="C50" s="26" t="s">
        <v>51</v>
      </c>
      <c r="D50" s="26" t="s">
        <v>50</v>
      </c>
      <c r="E50" s="25">
        <v>12</v>
      </c>
      <c r="F50" s="25">
        <v>50</v>
      </c>
      <c r="G50" s="27">
        <v>45476</v>
      </c>
      <c r="I50" s="28">
        <f t="shared" si="1"/>
        <v>600</v>
      </c>
    </row>
    <row r="51" spans="1:9">
      <c r="A51" s="25">
        <v>1050</v>
      </c>
      <c r="B51" s="26" t="s">
        <v>49</v>
      </c>
      <c r="C51" s="26" t="s">
        <v>48</v>
      </c>
      <c r="D51" s="26" t="s">
        <v>47</v>
      </c>
      <c r="E51" s="25">
        <v>25</v>
      </c>
      <c r="F51" s="25">
        <v>10</v>
      </c>
      <c r="G51" s="27">
        <v>45507</v>
      </c>
      <c r="I51" s="28">
        <f t="shared" si="1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B289-DB2E-4298-8343-9586D808FB77}">
  <sheetPr>
    <tabColor theme="2" tint="-9.9978637043366805E-2"/>
  </sheetPr>
  <dimension ref="A1:K51"/>
  <sheetViews>
    <sheetView workbookViewId="0">
      <selection activeCell="J6" sqref="J6"/>
    </sheetView>
  </sheetViews>
  <sheetFormatPr defaultRowHeight="15.6"/>
  <cols>
    <col min="1" max="1" width="12.109375" customWidth="1"/>
    <col min="2" max="2" width="16" customWidth="1"/>
    <col min="3" max="3" width="13.109375" customWidth="1"/>
    <col min="4" max="4" width="13.33203125" customWidth="1"/>
    <col min="5" max="5" width="13.109375" customWidth="1"/>
    <col min="6" max="6" width="12.5546875" customWidth="1"/>
    <col min="7" max="7" width="14.77734375" customWidth="1"/>
    <col min="8" max="8" width="11.5546875" customWidth="1"/>
    <col min="9" max="9" width="7.6640625" customWidth="1"/>
    <col min="10" max="10" width="12.6640625" style="4" customWidth="1"/>
    <col min="11" max="11" width="63.77734375" style="4" customWidth="1"/>
  </cols>
  <sheetData>
    <row r="1" spans="1:11">
      <c r="A1" s="24" t="s">
        <v>138</v>
      </c>
      <c r="B1" s="24" t="s">
        <v>137</v>
      </c>
      <c r="C1" s="24" t="s">
        <v>136</v>
      </c>
      <c r="D1" s="24" t="s">
        <v>135</v>
      </c>
      <c r="E1" s="24" t="s">
        <v>134</v>
      </c>
      <c r="F1" s="24" t="s">
        <v>133</v>
      </c>
      <c r="G1" s="24" t="s">
        <v>132</v>
      </c>
      <c r="H1" s="24" t="s">
        <v>146</v>
      </c>
    </row>
    <row r="2" spans="1:11">
      <c r="A2" s="25">
        <v>1001</v>
      </c>
      <c r="B2" s="26" t="s">
        <v>131</v>
      </c>
      <c r="C2" s="26" t="s">
        <v>51</v>
      </c>
      <c r="D2" s="26" t="s">
        <v>50</v>
      </c>
      <c r="E2" s="25">
        <v>10</v>
      </c>
      <c r="F2" s="25">
        <v>50</v>
      </c>
      <c r="G2" s="27">
        <v>45413</v>
      </c>
      <c r="H2" s="28">
        <f>E2*F2</f>
        <v>500</v>
      </c>
    </row>
    <row r="3" spans="1:11">
      <c r="A3" s="25">
        <v>1002</v>
      </c>
      <c r="B3" s="26" t="s">
        <v>130</v>
      </c>
      <c r="C3" s="26" t="s">
        <v>48</v>
      </c>
      <c r="D3" s="26" t="s">
        <v>47</v>
      </c>
      <c r="E3" s="25">
        <v>20</v>
      </c>
      <c r="F3" s="25">
        <v>10</v>
      </c>
      <c r="G3" s="27">
        <v>45444</v>
      </c>
      <c r="H3" s="28">
        <f t="shared" ref="H3:H51" si="0">E3*F3</f>
        <v>200</v>
      </c>
    </row>
    <row r="4" spans="1:11">
      <c r="A4" s="25">
        <v>1003</v>
      </c>
      <c r="B4" s="26" t="s">
        <v>129</v>
      </c>
      <c r="C4" s="26" t="s">
        <v>57</v>
      </c>
      <c r="D4" s="26" t="s">
        <v>59</v>
      </c>
      <c r="E4" s="25">
        <v>15</v>
      </c>
      <c r="F4" s="25">
        <v>25</v>
      </c>
      <c r="G4" s="27">
        <v>45474</v>
      </c>
      <c r="H4" s="28">
        <f t="shared" si="0"/>
        <v>375</v>
      </c>
    </row>
    <row r="5" spans="1:11">
      <c r="A5" s="25">
        <v>1004</v>
      </c>
      <c r="B5" s="26" t="s">
        <v>128</v>
      </c>
      <c r="C5" s="26" t="s">
        <v>54</v>
      </c>
      <c r="D5" s="26" t="s">
        <v>50</v>
      </c>
      <c r="E5" s="25">
        <v>5</v>
      </c>
      <c r="F5" s="25">
        <v>50</v>
      </c>
      <c r="G5" s="27">
        <v>45505</v>
      </c>
      <c r="H5" s="28">
        <f t="shared" si="0"/>
        <v>250</v>
      </c>
    </row>
    <row r="6" spans="1:11">
      <c r="A6" s="25">
        <v>1005</v>
      </c>
      <c r="B6" s="26" t="s">
        <v>127</v>
      </c>
      <c r="C6" s="26" t="s">
        <v>51</v>
      </c>
      <c r="D6" s="26" t="s">
        <v>56</v>
      </c>
      <c r="E6" s="25">
        <v>30</v>
      </c>
      <c r="F6" s="25">
        <v>5</v>
      </c>
      <c r="G6" s="27">
        <v>45566</v>
      </c>
      <c r="H6" s="28">
        <f t="shared" si="0"/>
        <v>150</v>
      </c>
      <c r="J6" s="21" t="s">
        <v>153</v>
      </c>
      <c r="K6" s="2" t="s">
        <v>152</v>
      </c>
    </row>
    <row r="7" spans="1:11">
      <c r="A7" s="25">
        <v>1006</v>
      </c>
      <c r="B7" s="26" t="s">
        <v>126</v>
      </c>
      <c r="C7" s="26" t="s">
        <v>48</v>
      </c>
      <c r="D7" s="26" t="s">
        <v>50</v>
      </c>
      <c r="E7" s="25">
        <v>12</v>
      </c>
      <c r="F7" s="25">
        <v>50</v>
      </c>
      <c r="G7" s="27">
        <v>45597</v>
      </c>
      <c r="H7" s="28">
        <f t="shared" si="0"/>
        <v>600</v>
      </c>
      <c r="J7" s="18" t="s">
        <v>2</v>
      </c>
      <c r="K7" s="15" t="s">
        <v>154</v>
      </c>
    </row>
    <row r="8" spans="1:11">
      <c r="A8" s="25">
        <v>1007</v>
      </c>
      <c r="B8" s="26" t="s">
        <v>125</v>
      </c>
      <c r="C8" s="26" t="s">
        <v>57</v>
      </c>
      <c r="D8" s="26" t="s">
        <v>53</v>
      </c>
      <c r="E8" s="25">
        <v>25</v>
      </c>
      <c r="F8" s="25">
        <v>8</v>
      </c>
      <c r="G8" s="25" t="s">
        <v>124</v>
      </c>
      <c r="H8" s="28">
        <f t="shared" si="0"/>
        <v>200</v>
      </c>
      <c r="J8" s="19" t="s">
        <v>34</v>
      </c>
      <c r="K8" s="9" t="s">
        <v>155</v>
      </c>
    </row>
    <row r="9" spans="1:11">
      <c r="A9" s="25">
        <v>1008</v>
      </c>
      <c r="B9" s="26" t="s">
        <v>123</v>
      </c>
      <c r="C9" s="26" t="s">
        <v>54</v>
      </c>
      <c r="D9" s="26" t="s">
        <v>47</v>
      </c>
      <c r="E9" s="25">
        <v>18</v>
      </c>
      <c r="F9" s="25">
        <v>10</v>
      </c>
      <c r="G9" s="25" t="s">
        <v>122</v>
      </c>
      <c r="H9" s="28">
        <f t="shared" si="0"/>
        <v>180</v>
      </c>
      <c r="K9" s="10" t="s">
        <v>156</v>
      </c>
    </row>
    <row r="10" spans="1:11">
      <c r="A10" s="25">
        <v>1009</v>
      </c>
      <c r="B10" s="26" t="s">
        <v>121</v>
      </c>
      <c r="C10" s="26" t="s">
        <v>51</v>
      </c>
      <c r="D10" s="26" t="s">
        <v>59</v>
      </c>
      <c r="E10" s="25">
        <v>22</v>
      </c>
      <c r="F10" s="25">
        <v>25</v>
      </c>
      <c r="G10" s="25" t="s">
        <v>120</v>
      </c>
      <c r="H10" s="28">
        <f t="shared" si="0"/>
        <v>550</v>
      </c>
    </row>
    <row r="11" spans="1:11">
      <c r="A11" s="25">
        <v>1010</v>
      </c>
      <c r="B11" s="26" t="s">
        <v>119</v>
      </c>
      <c r="C11" s="26" t="s">
        <v>48</v>
      </c>
      <c r="D11" s="26" t="s">
        <v>50</v>
      </c>
      <c r="E11" s="25">
        <v>8</v>
      </c>
      <c r="F11" s="25">
        <v>50</v>
      </c>
      <c r="G11" s="25" t="s">
        <v>118</v>
      </c>
      <c r="H11" s="28">
        <f t="shared" si="0"/>
        <v>400</v>
      </c>
    </row>
    <row r="12" spans="1:11">
      <c r="A12" s="25">
        <v>1011</v>
      </c>
      <c r="B12" s="26" t="s">
        <v>117</v>
      </c>
      <c r="C12" s="26" t="s">
        <v>57</v>
      </c>
      <c r="D12" s="26" t="s">
        <v>56</v>
      </c>
      <c r="E12" s="25">
        <v>40</v>
      </c>
      <c r="F12" s="25">
        <v>5</v>
      </c>
      <c r="G12" s="25" t="s">
        <v>116</v>
      </c>
      <c r="H12" s="28">
        <f t="shared" si="0"/>
        <v>200</v>
      </c>
    </row>
    <row r="13" spans="1:11">
      <c r="A13" s="25">
        <v>1012</v>
      </c>
      <c r="B13" s="26" t="s">
        <v>115</v>
      </c>
      <c r="C13" s="26" t="s">
        <v>54</v>
      </c>
      <c r="D13" s="26" t="s">
        <v>53</v>
      </c>
      <c r="E13" s="25">
        <v>35</v>
      </c>
      <c r="F13" s="25">
        <v>8</v>
      </c>
      <c r="G13" s="25" t="s">
        <v>114</v>
      </c>
      <c r="H13" s="28">
        <f t="shared" si="0"/>
        <v>280</v>
      </c>
    </row>
    <row r="14" spans="1:11">
      <c r="A14" s="25">
        <v>1013</v>
      </c>
      <c r="B14" s="26" t="s">
        <v>113</v>
      </c>
      <c r="C14" s="26" t="s">
        <v>51</v>
      </c>
      <c r="D14" s="26" t="s">
        <v>50</v>
      </c>
      <c r="E14" s="25">
        <v>14</v>
      </c>
      <c r="F14" s="25">
        <v>50</v>
      </c>
      <c r="G14" s="25" t="s">
        <v>112</v>
      </c>
      <c r="H14" s="28">
        <f t="shared" si="0"/>
        <v>700</v>
      </c>
    </row>
    <row r="15" spans="1:11">
      <c r="A15" s="25">
        <v>1014</v>
      </c>
      <c r="B15" s="26" t="s">
        <v>111</v>
      </c>
      <c r="C15" s="26" t="s">
        <v>48</v>
      </c>
      <c r="D15" s="26" t="s">
        <v>47</v>
      </c>
      <c r="E15" s="25">
        <v>28</v>
      </c>
      <c r="F15" s="25">
        <v>10</v>
      </c>
      <c r="G15" s="25" t="s">
        <v>110</v>
      </c>
      <c r="H15" s="28">
        <f t="shared" si="0"/>
        <v>280</v>
      </c>
    </row>
    <row r="16" spans="1:11">
      <c r="A16" s="25">
        <v>1015</v>
      </c>
      <c r="B16" s="26" t="s">
        <v>109</v>
      </c>
      <c r="C16" s="26" t="s">
        <v>57</v>
      </c>
      <c r="D16" s="26" t="s">
        <v>59</v>
      </c>
      <c r="E16" s="25">
        <v>12</v>
      </c>
      <c r="F16" s="25">
        <v>25</v>
      </c>
      <c r="G16" s="25" t="s">
        <v>108</v>
      </c>
      <c r="H16" s="28">
        <f t="shared" si="0"/>
        <v>300</v>
      </c>
    </row>
    <row r="17" spans="1:8">
      <c r="A17" s="25">
        <v>1016</v>
      </c>
      <c r="B17" s="26" t="s">
        <v>107</v>
      </c>
      <c r="C17" s="26" t="s">
        <v>54</v>
      </c>
      <c r="D17" s="26" t="s">
        <v>56</v>
      </c>
      <c r="E17" s="25">
        <v>25</v>
      </c>
      <c r="F17" s="25">
        <v>5</v>
      </c>
      <c r="G17" s="25" t="s">
        <v>106</v>
      </c>
      <c r="H17" s="28">
        <f t="shared" si="0"/>
        <v>125</v>
      </c>
    </row>
    <row r="18" spans="1:8">
      <c r="A18" s="25">
        <v>1017</v>
      </c>
      <c r="B18" s="26" t="s">
        <v>105</v>
      </c>
      <c r="C18" s="26" t="s">
        <v>51</v>
      </c>
      <c r="D18" s="26" t="s">
        <v>53</v>
      </c>
      <c r="E18" s="25">
        <v>20</v>
      </c>
      <c r="F18" s="25">
        <v>8</v>
      </c>
      <c r="G18" s="25" t="s">
        <v>104</v>
      </c>
      <c r="H18" s="28">
        <f t="shared" si="0"/>
        <v>160</v>
      </c>
    </row>
    <row r="19" spans="1:8">
      <c r="A19" s="25">
        <v>1018</v>
      </c>
      <c r="B19" s="26" t="s">
        <v>103</v>
      </c>
      <c r="C19" s="26" t="s">
        <v>48</v>
      </c>
      <c r="D19" s="26" t="s">
        <v>50</v>
      </c>
      <c r="E19" s="25">
        <v>10</v>
      </c>
      <c r="F19" s="25">
        <v>50</v>
      </c>
      <c r="G19" s="25" t="s">
        <v>102</v>
      </c>
      <c r="H19" s="28">
        <f t="shared" si="0"/>
        <v>500</v>
      </c>
    </row>
    <row r="20" spans="1:8">
      <c r="A20" s="25">
        <v>1019</v>
      </c>
      <c r="B20" s="26" t="s">
        <v>101</v>
      </c>
      <c r="C20" s="26" t="s">
        <v>57</v>
      </c>
      <c r="D20" s="26" t="s">
        <v>47</v>
      </c>
      <c r="E20" s="25">
        <v>15</v>
      </c>
      <c r="F20" s="25">
        <v>10</v>
      </c>
      <c r="G20" s="25" t="s">
        <v>100</v>
      </c>
      <c r="H20" s="28">
        <f t="shared" si="0"/>
        <v>150</v>
      </c>
    </row>
    <row r="21" spans="1:8">
      <c r="A21" s="25">
        <v>1020</v>
      </c>
      <c r="B21" s="26" t="s">
        <v>99</v>
      </c>
      <c r="C21" s="26" t="s">
        <v>54</v>
      </c>
      <c r="D21" s="26" t="s">
        <v>59</v>
      </c>
      <c r="E21" s="25">
        <v>18</v>
      </c>
      <c r="F21" s="25">
        <v>25</v>
      </c>
      <c r="G21" s="27">
        <v>45293</v>
      </c>
      <c r="H21" s="28">
        <f t="shared" si="0"/>
        <v>450</v>
      </c>
    </row>
    <row r="22" spans="1:8">
      <c r="A22" s="25">
        <v>1021</v>
      </c>
      <c r="B22" s="26" t="s">
        <v>98</v>
      </c>
      <c r="C22" s="26" t="s">
        <v>51</v>
      </c>
      <c r="D22" s="26" t="s">
        <v>50</v>
      </c>
      <c r="E22" s="25">
        <v>9</v>
      </c>
      <c r="F22" s="25">
        <v>50</v>
      </c>
      <c r="G22" s="27">
        <v>45324</v>
      </c>
      <c r="H22" s="28">
        <f t="shared" si="0"/>
        <v>450</v>
      </c>
    </row>
    <row r="23" spans="1:8">
      <c r="A23" s="25">
        <v>1022</v>
      </c>
      <c r="B23" s="26" t="s">
        <v>97</v>
      </c>
      <c r="C23" s="26" t="s">
        <v>48</v>
      </c>
      <c r="D23" s="26" t="s">
        <v>56</v>
      </c>
      <c r="E23" s="25">
        <v>35</v>
      </c>
      <c r="F23" s="25">
        <v>5</v>
      </c>
      <c r="G23" s="27">
        <v>45353</v>
      </c>
      <c r="H23" s="28">
        <f t="shared" si="0"/>
        <v>175</v>
      </c>
    </row>
    <row r="24" spans="1:8">
      <c r="A24" s="25">
        <v>1023</v>
      </c>
      <c r="B24" s="26" t="s">
        <v>96</v>
      </c>
      <c r="C24" s="26" t="s">
        <v>57</v>
      </c>
      <c r="D24" s="26" t="s">
        <v>53</v>
      </c>
      <c r="E24" s="25">
        <v>30</v>
      </c>
      <c r="F24" s="25">
        <v>8</v>
      </c>
      <c r="G24" s="27">
        <v>45384</v>
      </c>
      <c r="H24" s="28">
        <f t="shared" si="0"/>
        <v>240</v>
      </c>
    </row>
    <row r="25" spans="1:8">
      <c r="A25" s="25">
        <v>1024</v>
      </c>
      <c r="B25" s="26" t="s">
        <v>95</v>
      </c>
      <c r="C25" s="26" t="s">
        <v>54</v>
      </c>
      <c r="D25" s="26" t="s">
        <v>50</v>
      </c>
      <c r="E25" s="25">
        <v>11</v>
      </c>
      <c r="F25" s="25">
        <v>50</v>
      </c>
      <c r="G25" s="27">
        <v>45445</v>
      </c>
      <c r="H25" s="28">
        <f t="shared" si="0"/>
        <v>550</v>
      </c>
    </row>
    <row r="26" spans="1:8">
      <c r="A26" s="25">
        <v>1025</v>
      </c>
      <c r="B26" s="26" t="s">
        <v>94</v>
      </c>
      <c r="C26" s="26" t="s">
        <v>51</v>
      </c>
      <c r="D26" s="26" t="s">
        <v>47</v>
      </c>
      <c r="E26" s="25">
        <v>14</v>
      </c>
      <c r="F26" s="25">
        <v>10</v>
      </c>
      <c r="G26" s="27">
        <v>45475</v>
      </c>
      <c r="H26" s="28">
        <f t="shared" si="0"/>
        <v>140</v>
      </c>
    </row>
    <row r="27" spans="1:8">
      <c r="A27" s="25">
        <v>1026</v>
      </c>
      <c r="B27" s="26" t="s">
        <v>93</v>
      </c>
      <c r="C27" s="26" t="s">
        <v>48</v>
      </c>
      <c r="D27" s="26" t="s">
        <v>59</v>
      </c>
      <c r="E27" s="25">
        <v>16</v>
      </c>
      <c r="F27" s="25">
        <v>25</v>
      </c>
      <c r="G27" s="27">
        <v>45506</v>
      </c>
      <c r="H27" s="28">
        <f t="shared" si="0"/>
        <v>400</v>
      </c>
    </row>
    <row r="28" spans="1:8">
      <c r="A28" s="25">
        <v>1027</v>
      </c>
      <c r="B28" s="26" t="s">
        <v>92</v>
      </c>
      <c r="C28" s="26" t="s">
        <v>57</v>
      </c>
      <c r="D28" s="26" t="s">
        <v>56</v>
      </c>
      <c r="E28" s="25">
        <v>22</v>
      </c>
      <c r="F28" s="25">
        <v>5</v>
      </c>
      <c r="G28" s="27">
        <v>45537</v>
      </c>
      <c r="H28" s="28">
        <f t="shared" si="0"/>
        <v>110</v>
      </c>
    </row>
    <row r="29" spans="1:8">
      <c r="A29" s="25">
        <v>1028</v>
      </c>
      <c r="B29" s="26" t="s">
        <v>91</v>
      </c>
      <c r="C29" s="26" t="s">
        <v>54</v>
      </c>
      <c r="D29" s="26" t="s">
        <v>53</v>
      </c>
      <c r="E29" s="25">
        <v>27</v>
      </c>
      <c r="F29" s="25">
        <v>8</v>
      </c>
      <c r="G29" s="27">
        <v>45567</v>
      </c>
      <c r="H29" s="28">
        <f t="shared" si="0"/>
        <v>216</v>
      </c>
    </row>
    <row r="30" spans="1:8">
      <c r="A30" s="25">
        <v>1029</v>
      </c>
      <c r="B30" s="26" t="s">
        <v>90</v>
      </c>
      <c r="C30" s="26" t="s">
        <v>51</v>
      </c>
      <c r="D30" s="26" t="s">
        <v>50</v>
      </c>
      <c r="E30" s="25">
        <v>13</v>
      </c>
      <c r="F30" s="25">
        <v>50</v>
      </c>
      <c r="G30" s="27">
        <v>45628</v>
      </c>
      <c r="H30" s="28">
        <f t="shared" si="0"/>
        <v>650</v>
      </c>
    </row>
    <row r="31" spans="1:8">
      <c r="A31" s="25">
        <v>1030</v>
      </c>
      <c r="B31" s="26" t="s">
        <v>89</v>
      </c>
      <c r="C31" s="26" t="s">
        <v>48</v>
      </c>
      <c r="D31" s="26" t="s">
        <v>47</v>
      </c>
      <c r="E31" s="25">
        <v>32</v>
      </c>
      <c r="F31" s="25">
        <v>10</v>
      </c>
      <c r="G31" s="25" t="s">
        <v>88</v>
      </c>
      <c r="H31" s="28">
        <f t="shared" si="0"/>
        <v>320</v>
      </c>
    </row>
    <row r="32" spans="1:8">
      <c r="A32" s="25">
        <v>1031</v>
      </c>
      <c r="B32" s="26" t="s">
        <v>87</v>
      </c>
      <c r="C32" s="26" t="s">
        <v>57</v>
      </c>
      <c r="D32" s="26" t="s">
        <v>59</v>
      </c>
      <c r="E32" s="25">
        <v>10</v>
      </c>
      <c r="F32" s="25">
        <v>25</v>
      </c>
      <c r="G32" s="25" t="s">
        <v>86</v>
      </c>
      <c r="H32" s="28">
        <f t="shared" si="0"/>
        <v>250</v>
      </c>
    </row>
    <row r="33" spans="1:8">
      <c r="A33" s="25">
        <v>1032</v>
      </c>
      <c r="B33" s="26" t="s">
        <v>85</v>
      </c>
      <c r="C33" s="26" t="s">
        <v>54</v>
      </c>
      <c r="D33" s="26" t="s">
        <v>56</v>
      </c>
      <c r="E33" s="25">
        <v>18</v>
      </c>
      <c r="F33" s="25">
        <v>5</v>
      </c>
      <c r="G33" s="25" t="s">
        <v>84</v>
      </c>
      <c r="H33" s="28">
        <f t="shared" si="0"/>
        <v>90</v>
      </c>
    </row>
    <row r="34" spans="1:8">
      <c r="A34" s="25">
        <v>1033</v>
      </c>
      <c r="B34" s="26" t="s">
        <v>83</v>
      </c>
      <c r="C34" s="26" t="s">
        <v>51</v>
      </c>
      <c r="D34" s="26" t="s">
        <v>53</v>
      </c>
      <c r="E34" s="25">
        <v>22</v>
      </c>
      <c r="F34" s="25">
        <v>8</v>
      </c>
      <c r="G34" s="25" t="s">
        <v>82</v>
      </c>
      <c r="H34" s="28">
        <f t="shared" si="0"/>
        <v>176</v>
      </c>
    </row>
    <row r="35" spans="1:8">
      <c r="A35" s="25">
        <v>1034</v>
      </c>
      <c r="B35" s="26" t="s">
        <v>81</v>
      </c>
      <c r="C35" s="26" t="s">
        <v>48</v>
      </c>
      <c r="D35" s="26" t="s">
        <v>50</v>
      </c>
      <c r="E35" s="25">
        <v>17</v>
      </c>
      <c r="F35" s="25">
        <v>50</v>
      </c>
      <c r="G35" s="25" t="s">
        <v>80</v>
      </c>
      <c r="H35" s="28">
        <f t="shared" si="0"/>
        <v>850</v>
      </c>
    </row>
    <row r="36" spans="1:8">
      <c r="A36" s="25">
        <v>1035</v>
      </c>
      <c r="B36" s="26" t="s">
        <v>79</v>
      </c>
      <c r="C36" s="26" t="s">
        <v>57</v>
      </c>
      <c r="D36" s="26" t="s">
        <v>47</v>
      </c>
      <c r="E36" s="25">
        <v>19</v>
      </c>
      <c r="F36" s="25">
        <v>10</v>
      </c>
      <c r="G36" s="25" t="s">
        <v>78</v>
      </c>
      <c r="H36" s="28">
        <f t="shared" si="0"/>
        <v>190</v>
      </c>
    </row>
    <row r="37" spans="1:8">
      <c r="A37" s="25">
        <v>1036</v>
      </c>
      <c r="B37" s="26" t="s">
        <v>77</v>
      </c>
      <c r="C37" s="26" t="s">
        <v>54</v>
      </c>
      <c r="D37" s="26" t="s">
        <v>59</v>
      </c>
      <c r="E37" s="25">
        <v>15</v>
      </c>
      <c r="F37" s="25">
        <v>25</v>
      </c>
      <c r="G37" s="25" t="s">
        <v>76</v>
      </c>
      <c r="H37" s="28">
        <f t="shared" si="0"/>
        <v>375</v>
      </c>
    </row>
    <row r="38" spans="1:8">
      <c r="A38" s="25">
        <v>1037</v>
      </c>
      <c r="B38" s="26" t="s">
        <v>75</v>
      </c>
      <c r="C38" s="26" t="s">
        <v>51</v>
      </c>
      <c r="D38" s="26" t="s">
        <v>56</v>
      </c>
      <c r="E38" s="25">
        <v>28</v>
      </c>
      <c r="F38" s="25">
        <v>5</v>
      </c>
      <c r="G38" s="25" t="s">
        <v>74</v>
      </c>
      <c r="H38" s="28">
        <f t="shared" si="0"/>
        <v>140</v>
      </c>
    </row>
    <row r="39" spans="1:8">
      <c r="A39" s="25">
        <v>1038</v>
      </c>
      <c r="B39" s="26" t="s">
        <v>73</v>
      </c>
      <c r="C39" s="26" t="s">
        <v>48</v>
      </c>
      <c r="D39" s="26" t="s">
        <v>53</v>
      </c>
      <c r="E39" s="25">
        <v>24</v>
      </c>
      <c r="F39" s="25">
        <v>8</v>
      </c>
      <c r="G39" s="25" t="s">
        <v>72</v>
      </c>
      <c r="H39" s="28">
        <f t="shared" si="0"/>
        <v>192</v>
      </c>
    </row>
    <row r="40" spans="1:8">
      <c r="A40" s="25">
        <v>1039</v>
      </c>
      <c r="B40" s="26" t="s">
        <v>71</v>
      </c>
      <c r="C40" s="26" t="s">
        <v>57</v>
      </c>
      <c r="D40" s="26" t="s">
        <v>50</v>
      </c>
      <c r="E40" s="25">
        <v>16</v>
      </c>
      <c r="F40" s="25">
        <v>50</v>
      </c>
      <c r="G40" s="25" t="s">
        <v>70</v>
      </c>
      <c r="H40" s="28">
        <f t="shared" si="0"/>
        <v>800</v>
      </c>
    </row>
    <row r="41" spans="1:8">
      <c r="A41" s="25">
        <v>1040</v>
      </c>
      <c r="B41" s="26" t="s">
        <v>69</v>
      </c>
      <c r="C41" s="26" t="s">
        <v>54</v>
      </c>
      <c r="D41" s="26" t="s">
        <v>47</v>
      </c>
      <c r="E41" s="25">
        <v>27</v>
      </c>
      <c r="F41" s="25">
        <v>10</v>
      </c>
      <c r="G41" s="25" t="s">
        <v>68</v>
      </c>
      <c r="H41" s="28">
        <f t="shared" si="0"/>
        <v>270</v>
      </c>
    </row>
    <row r="42" spans="1:8">
      <c r="A42" s="25">
        <v>1041</v>
      </c>
      <c r="B42" s="26" t="s">
        <v>67</v>
      </c>
      <c r="C42" s="26" t="s">
        <v>51</v>
      </c>
      <c r="D42" s="26" t="s">
        <v>59</v>
      </c>
      <c r="E42" s="25">
        <v>21</v>
      </c>
      <c r="F42" s="25">
        <v>25</v>
      </c>
      <c r="G42" s="25" t="s">
        <v>66</v>
      </c>
      <c r="H42" s="28">
        <f t="shared" si="0"/>
        <v>525</v>
      </c>
    </row>
    <row r="43" spans="1:8">
      <c r="A43" s="25">
        <v>1042</v>
      </c>
      <c r="B43" s="26" t="s">
        <v>65</v>
      </c>
      <c r="C43" s="26" t="s">
        <v>48</v>
      </c>
      <c r="D43" s="26" t="s">
        <v>56</v>
      </c>
      <c r="E43" s="25">
        <v>30</v>
      </c>
      <c r="F43" s="25">
        <v>5</v>
      </c>
      <c r="G43" s="25" t="s">
        <v>64</v>
      </c>
      <c r="H43" s="28">
        <f t="shared" si="0"/>
        <v>150</v>
      </c>
    </row>
    <row r="44" spans="1:8">
      <c r="A44" s="25">
        <v>1043</v>
      </c>
      <c r="B44" s="26" t="s">
        <v>63</v>
      </c>
      <c r="C44" s="26" t="s">
        <v>57</v>
      </c>
      <c r="D44" s="26" t="s">
        <v>53</v>
      </c>
      <c r="E44" s="25">
        <v>26</v>
      </c>
      <c r="F44" s="25">
        <v>8</v>
      </c>
      <c r="G44" s="27">
        <v>45294</v>
      </c>
      <c r="H44" s="28">
        <f t="shared" si="0"/>
        <v>208</v>
      </c>
    </row>
    <row r="45" spans="1:8">
      <c r="A45" s="25">
        <v>1044</v>
      </c>
      <c r="B45" s="26" t="s">
        <v>62</v>
      </c>
      <c r="C45" s="26" t="s">
        <v>54</v>
      </c>
      <c r="D45" s="26" t="s">
        <v>50</v>
      </c>
      <c r="E45" s="25">
        <v>14</v>
      </c>
      <c r="F45" s="25">
        <v>50</v>
      </c>
      <c r="G45" s="27">
        <v>45325</v>
      </c>
      <c r="H45" s="28">
        <f t="shared" si="0"/>
        <v>700</v>
      </c>
    </row>
    <row r="46" spans="1:8">
      <c r="A46" s="25">
        <v>1045</v>
      </c>
      <c r="B46" s="26" t="s">
        <v>61</v>
      </c>
      <c r="C46" s="26" t="s">
        <v>51</v>
      </c>
      <c r="D46" s="26" t="s">
        <v>47</v>
      </c>
      <c r="E46" s="25">
        <v>20</v>
      </c>
      <c r="F46" s="25">
        <v>10</v>
      </c>
      <c r="G46" s="27">
        <v>45354</v>
      </c>
      <c r="H46" s="28">
        <f t="shared" si="0"/>
        <v>200</v>
      </c>
    </row>
    <row r="47" spans="1:8">
      <c r="A47" s="25">
        <v>1046</v>
      </c>
      <c r="B47" s="26" t="s">
        <v>60</v>
      </c>
      <c r="C47" s="26" t="s">
        <v>48</v>
      </c>
      <c r="D47" s="26" t="s">
        <v>59</v>
      </c>
      <c r="E47" s="25">
        <v>17</v>
      </c>
      <c r="F47" s="25">
        <v>25</v>
      </c>
      <c r="G47" s="27">
        <v>45385</v>
      </c>
      <c r="H47" s="28">
        <f t="shared" si="0"/>
        <v>425</v>
      </c>
    </row>
    <row r="48" spans="1:8">
      <c r="A48" s="25">
        <v>1047</v>
      </c>
      <c r="B48" s="26" t="s">
        <v>58</v>
      </c>
      <c r="C48" s="26" t="s">
        <v>57</v>
      </c>
      <c r="D48" s="26" t="s">
        <v>56</v>
      </c>
      <c r="E48" s="25">
        <v>19</v>
      </c>
      <c r="F48" s="25">
        <v>5</v>
      </c>
      <c r="G48" s="27">
        <v>45415</v>
      </c>
      <c r="H48" s="28">
        <f t="shared" si="0"/>
        <v>95</v>
      </c>
    </row>
    <row r="49" spans="1:8">
      <c r="A49" s="25">
        <v>1048</v>
      </c>
      <c r="B49" s="26" t="s">
        <v>55</v>
      </c>
      <c r="C49" s="26" t="s">
        <v>54</v>
      </c>
      <c r="D49" s="26" t="s">
        <v>53</v>
      </c>
      <c r="E49" s="25">
        <v>32</v>
      </c>
      <c r="F49" s="25">
        <v>8</v>
      </c>
      <c r="G49" s="27">
        <v>45446</v>
      </c>
      <c r="H49" s="28">
        <f t="shared" si="0"/>
        <v>256</v>
      </c>
    </row>
    <row r="50" spans="1:8">
      <c r="A50" s="25">
        <v>1049</v>
      </c>
      <c r="B50" s="26" t="s">
        <v>52</v>
      </c>
      <c r="C50" s="26" t="s">
        <v>51</v>
      </c>
      <c r="D50" s="26" t="s">
        <v>50</v>
      </c>
      <c r="E50" s="25">
        <v>12</v>
      </c>
      <c r="F50" s="25">
        <v>50</v>
      </c>
      <c r="G50" s="27">
        <v>45476</v>
      </c>
      <c r="H50" s="28">
        <f t="shared" si="0"/>
        <v>600</v>
      </c>
    </row>
    <row r="51" spans="1:8">
      <c r="A51" s="25">
        <v>1050</v>
      </c>
      <c r="B51" s="26" t="s">
        <v>49</v>
      </c>
      <c r="C51" s="26" t="s">
        <v>48</v>
      </c>
      <c r="D51" s="26" t="s">
        <v>47</v>
      </c>
      <c r="E51" s="25">
        <v>25</v>
      </c>
      <c r="F51" s="25">
        <v>10</v>
      </c>
      <c r="G51" s="27">
        <v>45507</v>
      </c>
      <c r="H51" s="28">
        <f t="shared" si="0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EB87-9E53-4554-BA83-595C24DE63C4}">
  <sheetPr>
    <tabColor theme="1" tint="0.34998626667073579"/>
  </sheetPr>
  <dimension ref="A1:N51"/>
  <sheetViews>
    <sheetView workbookViewId="0">
      <selection activeCell="J5" sqref="J5"/>
    </sheetView>
  </sheetViews>
  <sheetFormatPr defaultRowHeight="15.6"/>
  <cols>
    <col min="1" max="1" width="12.88671875" customWidth="1"/>
    <col min="2" max="2" width="15.44140625" customWidth="1"/>
    <col min="3" max="3" width="11.44140625" customWidth="1"/>
    <col min="4" max="4" width="12.88671875" customWidth="1"/>
    <col min="5" max="5" width="11.5546875" customWidth="1"/>
    <col min="6" max="6" width="12" customWidth="1"/>
    <col min="7" max="7" width="14" customWidth="1"/>
    <col min="8" max="8" width="11.44140625" customWidth="1"/>
    <col min="10" max="10" width="8.88671875" style="4"/>
    <col min="11" max="11" width="51.88671875" style="4" customWidth="1"/>
    <col min="13" max="13" width="10.44140625" customWidth="1"/>
    <col min="14" max="14" width="12" customWidth="1"/>
  </cols>
  <sheetData>
    <row r="1" spans="1:14">
      <c r="A1" s="24" t="s">
        <v>138</v>
      </c>
      <c r="B1" s="24" t="s">
        <v>137</v>
      </c>
      <c r="C1" s="24" t="s">
        <v>136</v>
      </c>
      <c r="D1" s="24" t="s">
        <v>135</v>
      </c>
      <c r="E1" s="24" t="s">
        <v>134</v>
      </c>
      <c r="F1" s="24" t="s">
        <v>133</v>
      </c>
      <c r="G1" s="24" t="s">
        <v>132</v>
      </c>
      <c r="H1" s="24" t="s">
        <v>146</v>
      </c>
      <c r="M1" s="24" t="s">
        <v>135</v>
      </c>
      <c r="N1" s="24" t="s">
        <v>146</v>
      </c>
    </row>
    <row r="2" spans="1:14">
      <c r="A2" s="25">
        <v>1001</v>
      </c>
      <c r="B2" s="26" t="s">
        <v>131</v>
      </c>
      <c r="C2" s="26" t="s">
        <v>51</v>
      </c>
      <c r="D2" s="26" t="s">
        <v>50</v>
      </c>
      <c r="E2" s="25">
        <v>10</v>
      </c>
      <c r="F2" s="25">
        <v>50</v>
      </c>
      <c r="G2" s="27">
        <v>45413</v>
      </c>
      <c r="H2" s="28">
        <f>E2*F2</f>
        <v>500</v>
      </c>
      <c r="M2" s="28" t="str" cm="1">
        <f t="array" ref="M2:M6">_xlfn.UNIQUE(D2:D51)</f>
        <v>Notebook</v>
      </c>
      <c r="N2" s="28">
        <f>SUMIF($D$2:$D$51,M2,$H$2:$H$51)</f>
        <v>7550</v>
      </c>
    </row>
    <row r="3" spans="1:14">
      <c r="A3" s="25">
        <v>1002</v>
      </c>
      <c r="B3" s="26" t="s">
        <v>130</v>
      </c>
      <c r="C3" s="26" t="s">
        <v>48</v>
      </c>
      <c r="D3" s="26" t="s">
        <v>47</v>
      </c>
      <c r="E3" s="25">
        <v>20</v>
      </c>
      <c r="F3" s="25">
        <v>10</v>
      </c>
      <c r="G3" s="27">
        <v>45444</v>
      </c>
      <c r="H3" s="28">
        <f t="shared" ref="H3:H51" si="0">E3*F3</f>
        <v>200</v>
      </c>
      <c r="M3" s="28" t="str">
        <v>Pen</v>
      </c>
      <c r="N3" s="28">
        <f t="shared" ref="N3:N6" si="1">SUMIF($D$2:$D$51,M3,$H$2:$H$51)</f>
        <v>2180</v>
      </c>
    </row>
    <row r="4" spans="1:14">
      <c r="A4" s="25">
        <v>1003</v>
      </c>
      <c r="B4" s="26" t="s">
        <v>129</v>
      </c>
      <c r="C4" s="26" t="s">
        <v>57</v>
      </c>
      <c r="D4" s="26" t="s">
        <v>59</v>
      </c>
      <c r="E4" s="25">
        <v>15</v>
      </c>
      <c r="F4" s="25">
        <v>25</v>
      </c>
      <c r="G4" s="27">
        <v>45474</v>
      </c>
      <c r="H4" s="28">
        <f t="shared" si="0"/>
        <v>375</v>
      </c>
      <c r="M4" s="28" t="str">
        <v>Marker</v>
      </c>
      <c r="N4" s="28">
        <f t="shared" si="1"/>
        <v>3650</v>
      </c>
    </row>
    <row r="5" spans="1:14">
      <c r="A5" s="25">
        <v>1004</v>
      </c>
      <c r="B5" s="26" t="s">
        <v>128</v>
      </c>
      <c r="C5" s="26" t="s">
        <v>54</v>
      </c>
      <c r="D5" s="26" t="s">
        <v>50</v>
      </c>
      <c r="E5" s="25">
        <v>5</v>
      </c>
      <c r="F5" s="25">
        <v>50</v>
      </c>
      <c r="G5" s="27">
        <v>45505</v>
      </c>
      <c r="H5" s="28">
        <f t="shared" si="0"/>
        <v>250</v>
      </c>
      <c r="J5" s="20" t="s">
        <v>157</v>
      </c>
      <c r="K5" s="22" t="s">
        <v>158</v>
      </c>
      <c r="M5" s="28" t="str">
        <v>Pencil</v>
      </c>
      <c r="N5" s="28">
        <f t="shared" si="1"/>
        <v>1235</v>
      </c>
    </row>
    <row r="6" spans="1:14">
      <c r="A6" s="25">
        <v>1005</v>
      </c>
      <c r="B6" s="26" t="s">
        <v>127</v>
      </c>
      <c r="C6" s="26" t="s">
        <v>51</v>
      </c>
      <c r="D6" s="26" t="s">
        <v>56</v>
      </c>
      <c r="E6" s="25">
        <v>30</v>
      </c>
      <c r="F6" s="25">
        <v>5</v>
      </c>
      <c r="G6" s="27">
        <v>45566</v>
      </c>
      <c r="H6" s="28">
        <f t="shared" si="0"/>
        <v>150</v>
      </c>
      <c r="M6" s="28" t="str">
        <v>Eraser</v>
      </c>
      <c r="N6" s="28">
        <f t="shared" si="1"/>
        <v>1928</v>
      </c>
    </row>
    <row r="7" spans="1:14">
      <c r="A7" s="25">
        <v>1006</v>
      </c>
      <c r="B7" s="26" t="s">
        <v>126</v>
      </c>
      <c r="C7" s="26" t="s">
        <v>48</v>
      </c>
      <c r="D7" s="26" t="s">
        <v>50</v>
      </c>
      <c r="E7" s="25">
        <v>12</v>
      </c>
      <c r="F7" s="25">
        <v>50</v>
      </c>
      <c r="G7" s="27">
        <v>45597</v>
      </c>
      <c r="H7" s="28">
        <f t="shared" si="0"/>
        <v>600</v>
      </c>
    </row>
    <row r="8" spans="1:14">
      <c r="A8" s="25">
        <v>1007</v>
      </c>
      <c r="B8" s="26" t="s">
        <v>125</v>
      </c>
      <c r="C8" s="26" t="s">
        <v>57</v>
      </c>
      <c r="D8" s="26" t="s">
        <v>53</v>
      </c>
      <c r="E8" s="25">
        <v>25</v>
      </c>
      <c r="F8" s="25">
        <v>8</v>
      </c>
      <c r="G8" s="25" t="s">
        <v>124</v>
      </c>
      <c r="H8" s="28">
        <f t="shared" si="0"/>
        <v>200</v>
      </c>
    </row>
    <row r="9" spans="1:14">
      <c r="A9" s="25">
        <v>1008</v>
      </c>
      <c r="B9" s="26" t="s">
        <v>123</v>
      </c>
      <c r="C9" s="26" t="s">
        <v>54</v>
      </c>
      <c r="D9" s="26" t="s">
        <v>47</v>
      </c>
      <c r="E9" s="25">
        <v>18</v>
      </c>
      <c r="F9" s="25">
        <v>10</v>
      </c>
      <c r="G9" s="25" t="s">
        <v>122</v>
      </c>
      <c r="H9" s="28">
        <f t="shared" si="0"/>
        <v>180</v>
      </c>
    </row>
    <row r="10" spans="1:14">
      <c r="A10" s="25">
        <v>1009</v>
      </c>
      <c r="B10" s="26" t="s">
        <v>121</v>
      </c>
      <c r="C10" s="26" t="s">
        <v>51</v>
      </c>
      <c r="D10" s="26" t="s">
        <v>59</v>
      </c>
      <c r="E10" s="25">
        <v>22</v>
      </c>
      <c r="F10" s="25">
        <v>25</v>
      </c>
      <c r="G10" s="25" t="s">
        <v>120</v>
      </c>
      <c r="H10" s="28">
        <f t="shared" si="0"/>
        <v>550</v>
      </c>
    </row>
    <row r="11" spans="1:14">
      <c r="A11" s="25">
        <v>1010</v>
      </c>
      <c r="B11" s="26" t="s">
        <v>119</v>
      </c>
      <c r="C11" s="26" t="s">
        <v>48</v>
      </c>
      <c r="D11" s="26" t="s">
        <v>50</v>
      </c>
      <c r="E11" s="25">
        <v>8</v>
      </c>
      <c r="F11" s="25">
        <v>50</v>
      </c>
      <c r="G11" s="25" t="s">
        <v>118</v>
      </c>
      <c r="H11" s="28">
        <f t="shared" si="0"/>
        <v>400</v>
      </c>
    </row>
    <row r="12" spans="1:14">
      <c r="A12" s="25">
        <v>1011</v>
      </c>
      <c r="B12" s="26" t="s">
        <v>117</v>
      </c>
      <c r="C12" s="26" t="s">
        <v>57</v>
      </c>
      <c r="D12" s="26" t="s">
        <v>56</v>
      </c>
      <c r="E12" s="25">
        <v>40</v>
      </c>
      <c r="F12" s="25">
        <v>5</v>
      </c>
      <c r="G12" s="25" t="s">
        <v>116</v>
      </c>
      <c r="H12" s="28">
        <f t="shared" si="0"/>
        <v>200</v>
      </c>
    </row>
    <row r="13" spans="1:14">
      <c r="A13" s="25">
        <v>1012</v>
      </c>
      <c r="B13" s="26" t="s">
        <v>115</v>
      </c>
      <c r="C13" s="26" t="s">
        <v>54</v>
      </c>
      <c r="D13" s="26" t="s">
        <v>53</v>
      </c>
      <c r="E13" s="25">
        <v>35</v>
      </c>
      <c r="F13" s="25">
        <v>8</v>
      </c>
      <c r="G13" s="25" t="s">
        <v>114</v>
      </c>
      <c r="H13" s="28">
        <f t="shared" si="0"/>
        <v>280</v>
      </c>
    </row>
    <row r="14" spans="1:14">
      <c r="A14" s="25">
        <v>1013</v>
      </c>
      <c r="B14" s="26" t="s">
        <v>113</v>
      </c>
      <c r="C14" s="26" t="s">
        <v>51</v>
      </c>
      <c r="D14" s="26" t="s">
        <v>50</v>
      </c>
      <c r="E14" s="25">
        <v>14</v>
      </c>
      <c r="F14" s="25">
        <v>50</v>
      </c>
      <c r="G14" s="25" t="s">
        <v>112</v>
      </c>
      <c r="H14" s="28">
        <f t="shared" si="0"/>
        <v>700</v>
      </c>
    </row>
    <row r="15" spans="1:14">
      <c r="A15" s="25">
        <v>1014</v>
      </c>
      <c r="B15" s="26" t="s">
        <v>111</v>
      </c>
      <c r="C15" s="26" t="s">
        <v>48</v>
      </c>
      <c r="D15" s="26" t="s">
        <v>47</v>
      </c>
      <c r="E15" s="25">
        <v>28</v>
      </c>
      <c r="F15" s="25">
        <v>10</v>
      </c>
      <c r="G15" s="25" t="s">
        <v>110</v>
      </c>
      <c r="H15" s="28">
        <f t="shared" si="0"/>
        <v>280</v>
      </c>
    </row>
    <row r="16" spans="1:14">
      <c r="A16" s="25">
        <v>1015</v>
      </c>
      <c r="B16" s="26" t="s">
        <v>109</v>
      </c>
      <c r="C16" s="26" t="s">
        <v>57</v>
      </c>
      <c r="D16" s="26" t="s">
        <v>59</v>
      </c>
      <c r="E16" s="25">
        <v>12</v>
      </c>
      <c r="F16" s="25">
        <v>25</v>
      </c>
      <c r="G16" s="25" t="s">
        <v>108</v>
      </c>
      <c r="H16" s="28">
        <f t="shared" si="0"/>
        <v>300</v>
      </c>
    </row>
    <row r="17" spans="1:8">
      <c r="A17" s="25">
        <v>1016</v>
      </c>
      <c r="B17" s="26" t="s">
        <v>107</v>
      </c>
      <c r="C17" s="26" t="s">
        <v>54</v>
      </c>
      <c r="D17" s="26" t="s">
        <v>56</v>
      </c>
      <c r="E17" s="25">
        <v>25</v>
      </c>
      <c r="F17" s="25">
        <v>5</v>
      </c>
      <c r="G17" s="25" t="s">
        <v>106</v>
      </c>
      <c r="H17" s="28">
        <f t="shared" si="0"/>
        <v>125</v>
      </c>
    </row>
    <row r="18" spans="1:8">
      <c r="A18" s="25">
        <v>1017</v>
      </c>
      <c r="B18" s="26" t="s">
        <v>105</v>
      </c>
      <c r="C18" s="26" t="s">
        <v>51</v>
      </c>
      <c r="D18" s="26" t="s">
        <v>53</v>
      </c>
      <c r="E18" s="25">
        <v>20</v>
      </c>
      <c r="F18" s="25">
        <v>8</v>
      </c>
      <c r="G18" s="25" t="s">
        <v>104</v>
      </c>
      <c r="H18" s="28">
        <f t="shared" si="0"/>
        <v>160</v>
      </c>
    </row>
    <row r="19" spans="1:8">
      <c r="A19" s="25">
        <v>1018</v>
      </c>
      <c r="B19" s="26" t="s">
        <v>103</v>
      </c>
      <c r="C19" s="26" t="s">
        <v>48</v>
      </c>
      <c r="D19" s="26" t="s">
        <v>50</v>
      </c>
      <c r="E19" s="25">
        <v>10</v>
      </c>
      <c r="F19" s="25">
        <v>50</v>
      </c>
      <c r="G19" s="25" t="s">
        <v>102</v>
      </c>
      <c r="H19" s="28">
        <f t="shared" si="0"/>
        <v>500</v>
      </c>
    </row>
    <row r="20" spans="1:8">
      <c r="A20" s="25">
        <v>1019</v>
      </c>
      <c r="B20" s="26" t="s">
        <v>101</v>
      </c>
      <c r="C20" s="26" t="s">
        <v>57</v>
      </c>
      <c r="D20" s="26" t="s">
        <v>47</v>
      </c>
      <c r="E20" s="25">
        <v>15</v>
      </c>
      <c r="F20" s="25">
        <v>10</v>
      </c>
      <c r="G20" s="25" t="s">
        <v>100</v>
      </c>
      <c r="H20" s="28">
        <f t="shared" si="0"/>
        <v>150</v>
      </c>
    </row>
    <row r="21" spans="1:8">
      <c r="A21" s="25">
        <v>1020</v>
      </c>
      <c r="B21" s="26" t="s">
        <v>99</v>
      </c>
      <c r="C21" s="26" t="s">
        <v>54</v>
      </c>
      <c r="D21" s="26" t="s">
        <v>59</v>
      </c>
      <c r="E21" s="25">
        <v>18</v>
      </c>
      <c r="F21" s="25">
        <v>25</v>
      </c>
      <c r="G21" s="27">
        <v>45293</v>
      </c>
      <c r="H21" s="28">
        <f t="shared" si="0"/>
        <v>450</v>
      </c>
    </row>
    <row r="22" spans="1:8">
      <c r="A22" s="25">
        <v>1021</v>
      </c>
      <c r="B22" s="26" t="s">
        <v>98</v>
      </c>
      <c r="C22" s="26" t="s">
        <v>51</v>
      </c>
      <c r="D22" s="26" t="s">
        <v>50</v>
      </c>
      <c r="E22" s="25">
        <v>9</v>
      </c>
      <c r="F22" s="25">
        <v>50</v>
      </c>
      <c r="G22" s="27">
        <v>45324</v>
      </c>
      <c r="H22" s="28">
        <f t="shared" si="0"/>
        <v>450</v>
      </c>
    </row>
    <row r="23" spans="1:8">
      <c r="A23" s="25">
        <v>1022</v>
      </c>
      <c r="B23" s="26" t="s">
        <v>97</v>
      </c>
      <c r="C23" s="26" t="s">
        <v>48</v>
      </c>
      <c r="D23" s="26" t="s">
        <v>56</v>
      </c>
      <c r="E23" s="25">
        <v>35</v>
      </c>
      <c r="F23" s="25">
        <v>5</v>
      </c>
      <c r="G23" s="27">
        <v>45353</v>
      </c>
      <c r="H23" s="28">
        <f t="shared" si="0"/>
        <v>175</v>
      </c>
    </row>
    <row r="24" spans="1:8">
      <c r="A24" s="25">
        <v>1023</v>
      </c>
      <c r="B24" s="26" t="s">
        <v>96</v>
      </c>
      <c r="C24" s="26" t="s">
        <v>57</v>
      </c>
      <c r="D24" s="26" t="s">
        <v>53</v>
      </c>
      <c r="E24" s="25">
        <v>30</v>
      </c>
      <c r="F24" s="25">
        <v>8</v>
      </c>
      <c r="G24" s="27">
        <v>45384</v>
      </c>
      <c r="H24" s="28">
        <f t="shared" si="0"/>
        <v>240</v>
      </c>
    </row>
    <row r="25" spans="1:8">
      <c r="A25" s="25">
        <v>1024</v>
      </c>
      <c r="B25" s="26" t="s">
        <v>95</v>
      </c>
      <c r="C25" s="26" t="s">
        <v>54</v>
      </c>
      <c r="D25" s="26" t="s">
        <v>50</v>
      </c>
      <c r="E25" s="25">
        <v>11</v>
      </c>
      <c r="F25" s="25">
        <v>50</v>
      </c>
      <c r="G25" s="27">
        <v>45445</v>
      </c>
      <c r="H25" s="28">
        <f t="shared" si="0"/>
        <v>550</v>
      </c>
    </row>
    <row r="26" spans="1:8">
      <c r="A26" s="25">
        <v>1025</v>
      </c>
      <c r="B26" s="26" t="s">
        <v>94</v>
      </c>
      <c r="C26" s="26" t="s">
        <v>51</v>
      </c>
      <c r="D26" s="26" t="s">
        <v>47</v>
      </c>
      <c r="E26" s="25">
        <v>14</v>
      </c>
      <c r="F26" s="25">
        <v>10</v>
      </c>
      <c r="G26" s="27">
        <v>45475</v>
      </c>
      <c r="H26" s="28">
        <f t="shared" si="0"/>
        <v>140</v>
      </c>
    </row>
    <row r="27" spans="1:8">
      <c r="A27" s="25">
        <v>1026</v>
      </c>
      <c r="B27" s="26" t="s">
        <v>93</v>
      </c>
      <c r="C27" s="26" t="s">
        <v>48</v>
      </c>
      <c r="D27" s="26" t="s">
        <v>59</v>
      </c>
      <c r="E27" s="25">
        <v>16</v>
      </c>
      <c r="F27" s="25">
        <v>25</v>
      </c>
      <c r="G27" s="27">
        <v>45506</v>
      </c>
      <c r="H27" s="28">
        <f t="shared" si="0"/>
        <v>400</v>
      </c>
    </row>
    <row r="28" spans="1:8">
      <c r="A28" s="25">
        <v>1027</v>
      </c>
      <c r="B28" s="26" t="s">
        <v>92</v>
      </c>
      <c r="C28" s="26" t="s">
        <v>57</v>
      </c>
      <c r="D28" s="26" t="s">
        <v>56</v>
      </c>
      <c r="E28" s="25">
        <v>22</v>
      </c>
      <c r="F28" s="25">
        <v>5</v>
      </c>
      <c r="G28" s="27">
        <v>45537</v>
      </c>
      <c r="H28" s="28">
        <f t="shared" si="0"/>
        <v>110</v>
      </c>
    </row>
    <row r="29" spans="1:8">
      <c r="A29" s="25">
        <v>1028</v>
      </c>
      <c r="B29" s="26" t="s">
        <v>91</v>
      </c>
      <c r="C29" s="26" t="s">
        <v>54</v>
      </c>
      <c r="D29" s="26" t="s">
        <v>53</v>
      </c>
      <c r="E29" s="25">
        <v>27</v>
      </c>
      <c r="F29" s="25">
        <v>8</v>
      </c>
      <c r="G29" s="27">
        <v>45567</v>
      </c>
      <c r="H29" s="28">
        <f t="shared" si="0"/>
        <v>216</v>
      </c>
    </row>
    <row r="30" spans="1:8">
      <c r="A30" s="25">
        <v>1029</v>
      </c>
      <c r="B30" s="26" t="s">
        <v>90</v>
      </c>
      <c r="C30" s="26" t="s">
        <v>51</v>
      </c>
      <c r="D30" s="26" t="s">
        <v>50</v>
      </c>
      <c r="E30" s="25">
        <v>13</v>
      </c>
      <c r="F30" s="25">
        <v>50</v>
      </c>
      <c r="G30" s="27">
        <v>45628</v>
      </c>
      <c r="H30" s="28">
        <f t="shared" si="0"/>
        <v>650</v>
      </c>
    </row>
    <row r="31" spans="1:8">
      <c r="A31" s="25">
        <v>1030</v>
      </c>
      <c r="B31" s="26" t="s">
        <v>89</v>
      </c>
      <c r="C31" s="26" t="s">
        <v>48</v>
      </c>
      <c r="D31" s="26" t="s">
        <v>47</v>
      </c>
      <c r="E31" s="25">
        <v>32</v>
      </c>
      <c r="F31" s="25">
        <v>10</v>
      </c>
      <c r="G31" s="25" t="s">
        <v>88</v>
      </c>
      <c r="H31" s="28">
        <f t="shared" si="0"/>
        <v>320</v>
      </c>
    </row>
    <row r="32" spans="1:8">
      <c r="A32" s="25">
        <v>1031</v>
      </c>
      <c r="B32" s="26" t="s">
        <v>87</v>
      </c>
      <c r="C32" s="26" t="s">
        <v>57</v>
      </c>
      <c r="D32" s="26" t="s">
        <v>59</v>
      </c>
      <c r="E32" s="25">
        <v>10</v>
      </c>
      <c r="F32" s="25">
        <v>25</v>
      </c>
      <c r="G32" s="25" t="s">
        <v>86</v>
      </c>
      <c r="H32" s="28">
        <f t="shared" si="0"/>
        <v>250</v>
      </c>
    </row>
    <row r="33" spans="1:8">
      <c r="A33" s="25">
        <v>1032</v>
      </c>
      <c r="B33" s="26" t="s">
        <v>85</v>
      </c>
      <c r="C33" s="26" t="s">
        <v>54</v>
      </c>
      <c r="D33" s="26" t="s">
        <v>56</v>
      </c>
      <c r="E33" s="25">
        <v>18</v>
      </c>
      <c r="F33" s="25">
        <v>5</v>
      </c>
      <c r="G33" s="25" t="s">
        <v>84</v>
      </c>
      <c r="H33" s="28">
        <f t="shared" si="0"/>
        <v>90</v>
      </c>
    </row>
    <row r="34" spans="1:8">
      <c r="A34" s="25">
        <v>1033</v>
      </c>
      <c r="B34" s="26" t="s">
        <v>83</v>
      </c>
      <c r="C34" s="26" t="s">
        <v>51</v>
      </c>
      <c r="D34" s="26" t="s">
        <v>53</v>
      </c>
      <c r="E34" s="25">
        <v>22</v>
      </c>
      <c r="F34" s="25">
        <v>8</v>
      </c>
      <c r="G34" s="25" t="s">
        <v>82</v>
      </c>
      <c r="H34" s="28">
        <f t="shared" si="0"/>
        <v>176</v>
      </c>
    </row>
    <row r="35" spans="1:8">
      <c r="A35" s="25">
        <v>1034</v>
      </c>
      <c r="B35" s="26" t="s">
        <v>81</v>
      </c>
      <c r="C35" s="26" t="s">
        <v>48</v>
      </c>
      <c r="D35" s="26" t="s">
        <v>50</v>
      </c>
      <c r="E35" s="25">
        <v>17</v>
      </c>
      <c r="F35" s="25">
        <v>50</v>
      </c>
      <c r="G35" s="25" t="s">
        <v>80</v>
      </c>
      <c r="H35" s="28">
        <f t="shared" si="0"/>
        <v>850</v>
      </c>
    </row>
    <row r="36" spans="1:8">
      <c r="A36" s="25">
        <v>1035</v>
      </c>
      <c r="B36" s="26" t="s">
        <v>79</v>
      </c>
      <c r="C36" s="26" t="s">
        <v>57</v>
      </c>
      <c r="D36" s="26" t="s">
        <v>47</v>
      </c>
      <c r="E36" s="25">
        <v>19</v>
      </c>
      <c r="F36" s="25">
        <v>10</v>
      </c>
      <c r="G36" s="25" t="s">
        <v>78</v>
      </c>
      <c r="H36" s="28">
        <f t="shared" si="0"/>
        <v>190</v>
      </c>
    </row>
    <row r="37" spans="1:8">
      <c r="A37" s="25">
        <v>1036</v>
      </c>
      <c r="B37" s="26" t="s">
        <v>77</v>
      </c>
      <c r="C37" s="26" t="s">
        <v>54</v>
      </c>
      <c r="D37" s="26" t="s">
        <v>59</v>
      </c>
      <c r="E37" s="25">
        <v>15</v>
      </c>
      <c r="F37" s="25">
        <v>25</v>
      </c>
      <c r="G37" s="25" t="s">
        <v>76</v>
      </c>
      <c r="H37" s="28">
        <f t="shared" si="0"/>
        <v>375</v>
      </c>
    </row>
    <row r="38" spans="1:8">
      <c r="A38" s="25">
        <v>1037</v>
      </c>
      <c r="B38" s="26" t="s">
        <v>75</v>
      </c>
      <c r="C38" s="26" t="s">
        <v>51</v>
      </c>
      <c r="D38" s="26" t="s">
        <v>56</v>
      </c>
      <c r="E38" s="25">
        <v>28</v>
      </c>
      <c r="F38" s="25">
        <v>5</v>
      </c>
      <c r="G38" s="25" t="s">
        <v>74</v>
      </c>
      <c r="H38" s="28">
        <f t="shared" si="0"/>
        <v>140</v>
      </c>
    </row>
    <row r="39" spans="1:8">
      <c r="A39" s="25">
        <v>1038</v>
      </c>
      <c r="B39" s="26" t="s">
        <v>73</v>
      </c>
      <c r="C39" s="26" t="s">
        <v>48</v>
      </c>
      <c r="D39" s="26" t="s">
        <v>53</v>
      </c>
      <c r="E39" s="25">
        <v>24</v>
      </c>
      <c r="F39" s="25">
        <v>8</v>
      </c>
      <c r="G39" s="25" t="s">
        <v>72</v>
      </c>
      <c r="H39" s="28">
        <f t="shared" si="0"/>
        <v>192</v>
      </c>
    </row>
    <row r="40" spans="1:8">
      <c r="A40" s="25">
        <v>1039</v>
      </c>
      <c r="B40" s="26" t="s">
        <v>71</v>
      </c>
      <c r="C40" s="26" t="s">
        <v>57</v>
      </c>
      <c r="D40" s="26" t="s">
        <v>50</v>
      </c>
      <c r="E40" s="25">
        <v>16</v>
      </c>
      <c r="F40" s="25">
        <v>50</v>
      </c>
      <c r="G40" s="25" t="s">
        <v>70</v>
      </c>
      <c r="H40" s="28">
        <f t="shared" si="0"/>
        <v>800</v>
      </c>
    </row>
    <row r="41" spans="1:8">
      <c r="A41" s="25">
        <v>1040</v>
      </c>
      <c r="B41" s="26" t="s">
        <v>69</v>
      </c>
      <c r="C41" s="26" t="s">
        <v>54</v>
      </c>
      <c r="D41" s="26" t="s">
        <v>47</v>
      </c>
      <c r="E41" s="25">
        <v>27</v>
      </c>
      <c r="F41" s="25">
        <v>10</v>
      </c>
      <c r="G41" s="25" t="s">
        <v>68</v>
      </c>
      <c r="H41" s="28">
        <f t="shared" si="0"/>
        <v>270</v>
      </c>
    </row>
    <row r="42" spans="1:8">
      <c r="A42" s="25">
        <v>1041</v>
      </c>
      <c r="B42" s="26" t="s">
        <v>67</v>
      </c>
      <c r="C42" s="26" t="s">
        <v>51</v>
      </c>
      <c r="D42" s="26" t="s">
        <v>59</v>
      </c>
      <c r="E42" s="25">
        <v>21</v>
      </c>
      <c r="F42" s="25">
        <v>25</v>
      </c>
      <c r="G42" s="25" t="s">
        <v>66</v>
      </c>
      <c r="H42" s="28">
        <f t="shared" si="0"/>
        <v>525</v>
      </c>
    </row>
    <row r="43" spans="1:8">
      <c r="A43" s="25">
        <v>1042</v>
      </c>
      <c r="B43" s="26" t="s">
        <v>65</v>
      </c>
      <c r="C43" s="26" t="s">
        <v>48</v>
      </c>
      <c r="D43" s="26" t="s">
        <v>56</v>
      </c>
      <c r="E43" s="25">
        <v>30</v>
      </c>
      <c r="F43" s="25">
        <v>5</v>
      </c>
      <c r="G43" s="25" t="s">
        <v>64</v>
      </c>
      <c r="H43" s="28">
        <f t="shared" si="0"/>
        <v>150</v>
      </c>
    </row>
    <row r="44" spans="1:8">
      <c r="A44" s="25">
        <v>1043</v>
      </c>
      <c r="B44" s="26" t="s">
        <v>63</v>
      </c>
      <c r="C44" s="26" t="s">
        <v>57</v>
      </c>
      <c r="D44" s="26" t="s">
        <v>53</v>
      </c>
      <c r="E44" s="25">
        <v>26</v>
      </c>
      <c r="F44" s="25">
        <v>8</v>
      </c>
      <c r="G44" s="27">
        <v>45294</v>
      </c>
      <c r="H44" s="28">
        <f t="shared" si="0"/>
        <v>208</v>
      </c>
    </row>
    <row r="45" spans="1:8">
      <c r="A45" s="25">
        <v>1044</v>
      </c>
      <c r="B45" s="26" t="s">
        <v>62</v>
      </c>
      <c r="C45" s="26" t="s">
        <v>54</v>
      </c>
      <c r="D45" s="26" t="s">
        <v>50</v>
      </c>
      <c r="E45" s="25">
        <v>14</v>
      </c>
      <c r="F45" s="25">
        <v>50</v>
      </c>
      <c r="G45" s="27">
        <v>45325</v>
      </c>
      <c r="H45" s="28">
        <f t="shared" si="0"/>
        <v>700</v>
      </c>
    </row>
    <row r="46" spans="1:8">
      <c r="A46" s="25">
        <v>1045</v>
      </c>
      <c r="B46" s="26" t="s">
        <v>61</v>
      </c>
      <c r="C46" s="26" t="s">
        <v>51</v>
      </c>
      <c r="D46" s="26" t="s">
        <v>47</v>
      </c>
      <c r="E46" s="25">
        <v>20</v>
      </c>
      <c r="F46" s="25">
        <v>10</v>
      </c>
      <c r="G46" s="27">
        <v>45354</v>
      </c>
      <c r="H46" s="28">
        <f t="shared" si="0"/>
        <v>200</v>
      </c>
    </row>
    <row r="47" spans="1:8">
      <c r="A47" s="25">
        <v>1046</v>
      </c>
      <c r="B47" s="26" t="s">
        <v>60</v>
      </c>
      <c r="C47" s="26" t="s">
        <v>48</v>
      </c>
      <c r="D47" s="26" t="s">
        <v>59</v>
      </c>
      <c r="E47" s="25">
        <v>17</v>
      </c>
      <c r="F47" s="25">
        <v>25</v>
      </c>
      <c r="G47" s="27">
        <v>45385</v>
      </c>
      <c r="H47" s="28">
        <f t="shared" si="0"/>
        <v>425</v>
      </c>
    </row>
    <row r="48" spans="1:8">
      <c r="A48" s="25">
        <v>1047</v>
      </c>
      <c r="B48" s="26" t="s">
        <v>58</v>
      </c>
      <c r="C48" s="26" t="s">
        <v>57</v>
      </c>
      <c r="D48" s="26" t="s">
        <v>56</v>
      </c>
      <c r="E48" s="25">
        <v>19</v>
      </c>
      <c r="F48" s="25">
        <v>5</v>
      </c>
      <c r="G48" s="27">
        <v>45415</v>
      </c>
      <c r="H48" s="28">
        <f t="shared" si="0"/>
        <v>95</v>
      </c>
    </row>
    <row r="49" spans="1:8">
      <c r="A49" s="25">
        <v>1048</v>
      </c>
      <c r="B49" s="26" t="s">
        <v>55</v>
      </c>
      <c r="C49" s="26" t="s">
        <v>54</v>
      </c>
      <c r="D49" s="26" t="s">
        <v>53</v>
      </c>
      <c r="E49" s="25">
        <v>32</v>
      </c>
      <c r="F49" s="25">
        <v>8</v>
      </c>
      <c r="G49" s="27">
        <v>45446</v>
      </c>
      <c r="H49" s="28">
        <f t="shared" si="0"/>
        <v>256</v>
      </c>
    </row>
    <row r="50" spans="1:8">
      <c r="A50" s="25">
        <v>1049</v>
      </c>
      <c r="B50" s="26" t="s">
        <v>52</v>
      </c>
      <c r="C50" s="26" t="s">
        <v>51</v>
      </c>
      <c r="D50" s="26" t="s">
        <v>50</v>
      </c>
      <c r="E50" s="25">
        <v>12</v>
      </c>
      <c r="F50" s="25">
        <v>50</v>
      </c>
      <c r="G50" s="27">
        <v>45476</v>
      </c>
      <c r="H50" s="28">
        <f t="shared" si="0"/>
        <v>600</v>
      </c>
    </row>
    <row r="51" spans="1:8">
      <c r="A51" s="25">
        <v>1050</v>
      </c>
      <c r="B51" s="26" t="s">
        <v>49</v>
      </c>
      <c r="C51" s="26" t="s">
        <v>48</v>
      </c>
      <c r="D51" s="26" t="s">
        <v>47</v>
      </c>
      <c r="E51" s="25">
        <v>25</v>
      </c>
      <c r="F51" s="25">
        <v>10</v>
      </c>
      <c r="G51" s="27">
        <v>45507</v>
      </c>
      <c r="H51" s="28">
        <f t="shared" si="0"/>
        <v>250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6816-35F0-48DD-B951-1AA4E6CEE370}">
  <sheetPr>
    <tabColor theme="2" tint="-9.9978637043366805E-2"/>
  </sheetPr>
  <dimension ref="A1:K51"/>
  <sheetViews>
    <sheetView workbookViewId="0">
      <selection activeCell="J3" sqref="J3"/>
    </sheetView>
  </sheetViews>
  <sheetFormatPr defaultRowHeight="14.4"/>
  <cols>
    <col min="1" max="1" width="10.77734375" customWidth="1"/>
    <col min="2" max="2" width="16.33203125" customWidth="1"/>
    <col min="3" max="3" width="11.109375" customWidth="1"/>
    <col min="4" max="4" width="12.5546875" customWidth="1"/>
    <col min="5" max="6" width="10.44140625" customWidth="1"/>
    <col min="7" max="7" width="13.21875" customWidth="1"/>
    <col min="8" max="8" width="11" customWidth="1"/>
    <col min="11" max="11" width="40.77734375" customWidth="1"/>
    <col min="18" max="19" width="11.33203125" customWidth="1"/>
  </cols>
  <sheetData>
    <row r="1" spans="1:11">
      <c r="A1" s="24" t="s">
        <v>138</v>
      </c>
      <c r="B1" s="24" t="s">
        <v>137</v>
      </c>
      <c r="C1" s="24" t="s">
        <v>136</v>
      </c>
      <c r="D1" s="24" t="s">
        <v>135</v>
      </c>
      <c r="E1" s="24" t="s">
        <v>134</v>
      </c>
      <c r="F1" s="24" t="s">
        <v>133</v>
      </c>
      <c r="G1" s="24" t="s">
        <v>132</v>
      </c>
      <c r="H1" s="24" t="s">
        <v>146</v>
      </c>
    </row>
    <row r="2" spans="1:11">
      <c r="A2" s="25">
        <v>1001</v>
      </c>
      <c r="B2" s="26" t="s">
        <v>131</v>
      </c>
      <c r="C2" s="26" t="s">
        <v>51</v>
      </c>
      <c r="D2" s="26" t="s">
        <v>50</v>
      </c>
      <c r="E2" s="25">
        <v>10</v>
      </c>
      <c r="F2" s="25">
        <v>50</v>
      </c>
      <c r="G2" s="27">
        <v>45413</v>
      </c>
      <c r="H2" s="28">
        <f t="shared" ref="H2:H33" si="0">E2*F2</f>
        <v>500</v>
      </c>
    </row>
    <row r="3" spans="1:11" ht="15.6">
      <c r="A3" s="25">
        <v>1002</v>
      </c>
      <c r="B3" s="26" t="s">
        <v>130</v>
      </c>
      <c r="C3" s="26" t="s">
        <v>48</v>
      </c>
      <c r="D3" s="26" t="s">
        <v>47</v>
      </c>
      <c r="E3" s="25">
        <v>20</v>
      </c>
      <c r="F3" s="25">
        <v>10</v>
      </c>
      <c r="G3" s="27">
        <v>45444</v>
      </c>
      <c r="H3" s="28">
        <f t="shared" si="0"/>
        <v>200</v>
      </c>
      <c r="J3" s="20" t="s">
        <v>159</v>
      </c>
      <c r="K3" s="19" t="s">
        <v>160</v>
      </c>
    </row>
    <row r="4" spans="1:11">
      <c r="A4" s="25">
        <v>1003</v>
      </c>
      <c r="B4" s="26" t="s">
        <v>129</v>
      </c>
      <c r="C4" s="26" t="s">
        <v>57</v>
      </c>
      <c r="D4" s="26" t="s">
        <v>59</v>
      </c>
      <c r="E4" s="25">
        <v>15</v>
      </c>
      <c r="F4" s="25">
        <v>25</v>
      </c>
      <c r="G4" s="27">
        <v>45474</v>
      </c>
      <c r="H4" s="28">
        <f t="shared" si="0"/>
        <v>375</v>
      </c>
    </row>
    <row r="5" spans="1:11">
      <c r="A5" s="25">
        <v>1004</v>
      </c>
      <c r="B5" s="26" t="s">
        <v>128</v>
      </c>
      <c r="C5" s="26" t="s">
        <v>54</v>
      </c>
      <c r="D5" s="26" t="s">
        <v>50</v>
      </c>
      <c r="E5" s="25">
        <v>5</v>
      </c>
      <c r="F5" s="25">
        <v>50</v>
      </c>
      <c r="G5" s="27">
        <v>45505</v>
      </c>
      <c r="H5" s="28">
        <f t="shared" si="0"/>
        <v>250</v>
      </c>
    </row>
    <row r="6" spans="1:11">
      <c r="A6" s="25">
        <v>1005</v>
      </c>
      <c r="B6" s="26" t="s">
        <v>127</v>
      </c>
      <c r="C6" s="26" t="s">
        <v>51</v>
      </c>
      <c r="D6" s="26" t="s">
        <v>56</v>
      </c>
      <c r="E6" s="25">
        <v>30</v>
      </c>
      <c r="F6" s="25">
        <v>5</v>
      </c>
      <c r="G6" s="27">
        <v>45566</v>
      </c>
      <c r="H6" s="28">
        <f t="shared" si="0"/>
        <v>150</v>
      </c>
    </row>
    <row r="7" spans="1:11">
      <c r="A7" s="25">
        <v>1006</v>
      </c>
      <c r="B7" s="26" t="s">
        <v>126</v>
      </c>
      <c r="C7" s="26" t="s">
        <v>48</v>
      </c>
      <c r="D7" s="26" t="s">
        <v>50</v>
      </c>
      <c r="E7" s="25">
        <v>12</v>
      </c>
      <c r="F7" s="25">
        <v>50</v>
      </c>
      <c r="G7" s="27">
        <v>45597</v>
      </c>
      <c r="H7" s="28">
        <f t="shared" si="0"/>
        <v>600</v>
      </c>
    </row>
    <row r="8" spans="1:11">
      <c r="A8" s="25">
        <v>1007</v>
      </c>
      <c r="B8" s="26" t="s">
        <v>125</v>
      </c>
      <c r="C8" s="26" t="s">
        <v>57</v>
      </c>
      <c r="D8" s="26" t="s">
        <v>53</v>
      </c>
      <c r="E8" s="25">
        <v>25</v>
      </c>
      <c r="F8" s="25">
        <v>8</v>
      </c>
      <c r="G8" s="25" t="s">
        <v>124</v>
      </c>
      <c r="H8" s="28">
        <f t="shared" si="0"/>
        <v>200</v>
      </c>
    </row>
    <row r="9" spans="1:11">
      <c r="A9" s="25">
        <v>1008</v>
      </c>
      <c r="B9" s="26" t="s">
        <v>123</v>
      </c>
      <c r="C9" s="26" t="s">
        <v>54</v>
      </c>
      <c r="D9" s="26" t="s">
        <v>47</v>
      </c>
      <c r="E9" s="25">
        <v>18</v>
      </c>
      <c r="F9" s="25">
        <v>10</v>
      </c>
      <c r="G9" s="25" t="s">
        <v>122</v>
      </c>
      <c r="H9" s="28">
        <f t="shared" si="0"/>
        <v>180</v>
      </c>
    </row>
    <row r="10" spans="1:11">
      <c r="A10" s="25">
        <v>1009</v>
      </c>
      <c r="B10" s="26" t="s">
        <v>121</v>
      </c>
      <c r="C10" s="26" t="s">
        <v>51</v>
      </c>
      <c r="D10" s="26" t="s">
        <v>59</v>
      </c>
      <c r="E10" s="25">
        <v>22</v>
      </c>
      <c r="F10" s="25">
        <v>25</v>
      </c>
      <c r="G10" s="25" t="s">
        <v>120</v>
      </c>
      <c r="H10" s="28">
        <f t="shared" si="0"/>
        <v>550</v>
      </c>
    </row>
    <row r="11" spans="1:11">
      <c r="A11" s="25">
        <v>1010</v>
      </c>
      <c r="B11" s="26" t="s">
        <v>119</v>
      </c>
      <c r="C11" s="26" t="s">
        <v>48</v>
      </c>
      <c r="D11" s="26" t="s">
        <v>50</v>
      </c>
      <c r="E11" s="25">
        <v>8</v>
      </c>
      <c r="F11" s="25">
        <v>50</v>
      </c>
      <c r="G11" s="25" t="s">
        <v>118</v>
      </c>
      <c r="H11" s="28">
        <f t="shared" si="0"/>
        <v>400</v>
      </c>
    </row>
    <row r="12" spans="1:11">
      <c r="A12" s="25">
        <v>1011</v>
      </c>
      <c r="B12" s="26" t="s">
        <v>117</v>
      </c>
      <c r="C12" s="26" t="s">
        <v>57</v>
      </c>
      <c r="D12" s="26" t="s">
        <v>56</v>
      </c>
      <c r="E12" s="25">
        <v>40</v>
      </c>
      <c r="F12" s="25">
        <v>5</v>
      </c>
      <c r="G12" s="25" t="s">
        <v>116</v>
      </c>
      <c r="H12" s="28">
        <f t="shared" si="0"/>
        <v>200</v>
      </c>
    </row>
    <row r="13" spans="1:11">
      <c r="A13" s="25">
        <v>1012</v>
      </c>
      <c r="B13" s="26" t="s">
        <v>115</v>
      </c>
      <c r="C13" s="26" t="s">
        <v>54</v>
      </c>
      <c r="D13" s="26" t="s">
        <v>53</v>
      </c>
      <c r="E13" s="25">
        <v>35</v>
      </c>
      <c r="F13" s="25">
        <v>8</v>
      </c>
      <c r="G13" s="25" t="s">
        <v>114</v>
      </c>
      <c r="H13" s="28">
        <f t="shared" si="0"/>
        <v>280</v>
      </c>
    </row>
    <row r="14" spans="1:11">
      <c r="A14" s="25">
        <v>1013</v>
      </c>
      <c r="B14" s="26" t="s">
        <v>113</v>
      </c>
      <c r="C14" s="26" t="s">
        <v>51</v>
      </c>
      <c r="D14" s="26" t="s">
        <v>50</v>
      </c>
      <c r="E14" s="25">
        <v>14</v>
      </c>
      <c r="F14" s="25">
        <v>50</v>
      </c>
      <c r="G14" s="25" t="s">
        <v>112</v>
      </c>
      <c r="H14" s="28">
        <f t="shared" si="0"/>
        <v>700</v>
      </c>
    </row>
    <row r="15" spans="1:11">
      <c r="A15" s="25">
        <v>1014</v>
      </c>
      <c r="B15" s="26" t="s">
        <v>111</v>
      </c>
      <c r="C15" s="26" t="s">
        <v>48</v>
      </c>
      <c r="D15" s="26" t="s">
        <v>47</v>
      </c>
      <c r="E15" s="25">
        <v>28</v>
      </c>
      <c r="F15" s="25">
        <v>10</v>
      </c>
      <c r="G15" s="25" t="s">
        <v>110</v>
      </c>
      <c r="H15" s="28">
        <f t="shared" si="0"/>
        <v>280</v>
      </c>
    </row>
    <row r="16" spans="1:11">
      <c r="A16" s="25">
        <v>1015</v>
      </c>
      <c r="B16" s="26" t="s">
        <v>109</v>
      </c>
      <c r="C16" s="26" t="s">
        <v>57</v>
      </c>
      <c r="D16" s="26" t="s">
        <v>59</v>
      </c>
      <c r="E16" s="25">
        <v>12</v>
      </c>
      <c r="F16" s="25">
        <v>25</v>
      </c>
      <c r="G16" s="25" t="s">
        <v>108</v>
      </c>
      <c r="H16" s="28">
        <f t="shared" si="0"/>
        <v>300</v>
      </c>
    </row>
    <row r="17" spans="1:8">
      <c r="A17" s="25">
        <v>1016</v>
      </c>
      <c r="B17" s="26" t="s">
        <v>107</v>
      </c>
      <c r="C17" s="26" t="s">
        <v>54</v>
      </c>
      <c r="D17" s="26" t="s">
        <v>56</v>
      </c>
      <c r="E17" s="25">
        <v>25</v>
      </c>
      <c r="F17" s="25">
        <v>5</v>
      </c>
      <c r="G17" s="25" t="s">
        <v>106</v>
      </c>
      <c r="H17" s="28">
        <f t="shared" si="0"/>
        <v>125</v>
      </c>
    </row>
    <row r="18" spans="1:8">
      <c r="A18" s="25">
        <v>1017</v>
      </c>
      <c r="B18" s="26" t="s">
        <v>105</v>
      </c>
      <c r="C18" s="26" t="s">
        <v>51</v>
      </c>
      <c r="D18" s="26" t="s">
        <v>53</v>
      </c>
      <c r="E18" s="25">
        <v>20</v>
      </c>
      <c r="F18" s="25">
        <v>8</v>
      </c>
      <c r="G18" s="25" t="s">
        <v>104</v>
      </c>
      <c r="H18" s="28">
        <f t="shared" si="0"/>
        <v>160</v>
      </c>
    </row>
    <row r="19" spans="1:8">
      <c r="A19" s="25">
        <v>1018</v>
      </c>
      <c r="B19" s="26" t="s">
        <v>103</v>
      </c>
      <c r="C19" s="26" t="s">
        <v>48</v>
      </c>
      <c r="D19" s="26" t="s">
        <v>50</v>
      </c>
      <c r="E19" s="25">
        <v>10</v>
      </c>
      <c r="F19" s="25">
        <v>50</v>
      </c>
      <c r="G19" s="25" t="s">
        <v>102</v>
      </c>
      <c r="H19" s="28">
        <f t="shared" si="0"/>
        <v>500</v>
      </c>
    </row>
    <row r="20" spans="1:8">
      <c r="A20" s="25">
        <v>1019</v>
      </c>
      <c r="B20" s="26" t="s">
        <v>101</v>
      </c>
      <c r="C20" s="26" t="s">
        <v>57</v>
      </c>
      <c r="D20" s="26" t="s">
        <v>47</v>
      </c>
      <c r="E20" s="25">
        <v>15</v>
      </c>
      <c r="F20" s="25">
        <v>10</v>
      </c>
      <c r="G20" s="25" t="s">
        <v>100</v>
      </c>
      <c r="H20" s="28">
        <f t="shared" si="0"/>
        <v>150</v>
      </c>
    </row>
    <row r="21" spans="1:8">
      <c r="A21" s="25">
        <v>1020</v>
      </c>
      <c r="B21" s="26" t="s">
        <v>99</v>
      </c>
      <c r="C21" s="26" t="s">
        <v>54</v>
      </c>
      <c r="D21" s="26" t="s">
        <v>59</v>
      </c>
      <c r="E21" s="25">
        <v>18</v>
      </c>
      <c r="F21" s="25">
        <v>25</v>
      </c>
      <c r="G21" s="27">
        <v>45293</v>
      </c>
      <c r="H21" s="28">
        <f t="shared" si="0"/>
        <v>450</v>
      </c>
    </row>
    <row r="22" spans="1:8">
      <c r="A22" s="25">
        <v>1021</v>
      </c>
      <c r="B22" s="26" t="s">
        <v>98</v>
      </c>
      <c r="C22" s="26" t="s">
        <v>51</v>
      </c>
      <c r="D22" s="26" t="s">
        <v>50</v>
      </c>
      <c r="E22" s="25">
        <v>9</v>
      </c>
      <c r="F22" s="25">
        <v>50</v>
      </c>
      <c r="G22" s="27">
        <v>45324</v>
      </c>
      <c r="H22" s="28">
        <f t="shared" si="0"/>
        <v>450</v>
      </c>
    </row>
    <row r="23" spans="1:8">
      <c r="A23" s="25">
        <v>1022</v>
      </c>
      <c r="B23" s="26" t="s">
        <v>97</v>
      </c>
      <c r="C23" s="26" t="s">
        <v>48</v>
      </c>
      <c r="D23" s="26" t="s">
        <v>56</v>
      </c>
      <c r="E23" s="25">
        <v>35</v>
      </c>
      <c r="F23" s="25">
        <v>5</v>
      </c>
      <c r="G23" s="27">
        <v>45353</v>
      </c>
      <c r="H23" s="28">
        <f t="shared" si="0"/>
        <v>175</v>
      </c>
    </row>
    <row r="24" spans="1:8">
      <c r="A24" s="25">
        <v>1023</v>
      </c>
      <c r="B24" s="26" t="s">
        <v>96</v>
      </c>
      <c r="C24" s="26" t="s">
        <v>57</v>
      </c>
      <c r="D24" s="26" t="s">
        <v>53</v>
      </c>
      <c r="E24" s="25">
        <v>30</v>
      </c>
      <c r="F24" s="25">
        <v>8</v>
      </c>
      <c r="G24" s="27">
        <v>45384</v>
      </c>
      <c r="H24" s="28">
        <f t="shared" si="0"/>
        <v>240</v>
      </c>
    </row>
    <row r="25" spans="1:8">
      <c r="A25" s="25">
        <v>1024</v>
      </c>
      <c r="B25" s="26" t="s">
        <v>95</v>
      </c>
      <c r="C25" s="26" t="s">
        <v>54</v>
      </c>
      <c r="D25" s="26" t="s">
        <v>50</v>
      </c>
      <c r="E25" s="25">
        <v>11</v>
      </c>
      <c r="F25" s="25">
        <v>50</v>
      </c>
      <c r="G25" s="27">
        <v>45445</v>
      </c>
      <c r="H25" s="28">
        <f t="shared" si="0"/>
        <v>550</v>
      </c>
    </row>
    <row r="26" spans="1:8">
      <c r="A26" s="25">
        <v>1025</v>
      </c>
      <c r="B26" s="26" t="s">
        <v>94</v>
      </c>
      <c r="C26" s="26" t="s">
        <v>51</v>
      </c>
      <c r="D26" s="26" t="s">
        <v>47</v>
      </c>
      <c r="E26" s="25">
        <v>14</v>
      </c>
      <c r="F26" s="25">
        <v>10</v>
      </c>
      <c r="G26" s="27">
        <v>45475</v>
      </c>
      <c r="H26" s="28">
        <f t="shared" si="0"/>
        <v>140</v>
      </c>
    </row>
    <row r="27" spans="1:8">
      <c r="A27" s="25">
        <v>1026</v>
      </c>
      <c r="B27" s="26" t="s">
        <v>93</v>
      </c>
      <c r="C27" s="26" t="s">
        <v>48</v>
      </c>
      <c r="D27" s="26" t="s">
        <v>59</v>
      </c>
      <c r="E27" s="25">
        <v>16</v>
      </c>
      <c r="F27" s="25">
        <v>25</v>
      </c>
      <c r="G27" s="27">
        <v>45506</v>
      </c>
      <c r="H27" s="28">
        <f t="shared" si="0"/>
        <v>400</v>
      </c>
    </row>
    <row r="28" spans="1:8">
      <c r="A28" s="25">
        <v>1027</v>
      </c>
      <c r="B28" s="26" t="s">
        <v>92</v>
      </c>
      <c r="C28" s="26" t="s">
        <v>57</v>
      </c>
      <c r="D28" s="26" t="s">
        <v>56</v>
      </c>
      <c r="E28" s="25">
        <v>22</v>
      </c>
      <c r="F28" s="25">
        <v>5</v>
      </c>
      <c r="G28" s="27">
        <v>45537</v>
      </c>
      <c r="H28" s="28">
        <f t="shared" si="0"/>
        <v>110</v>
      </c>
    </row>
    <row r="29" spans="1:8">
      <c r="A29" s="25">
        <v>1028</v>
      </c>
      <c r="B29" s="26" t="s">
        <v>91</v>
      </c>
      <c r="C29" s="26" t="s">
        <v>54</v>
      </c>
      <c r="D29" s="26" t="s">
        <v>53</v>
      </c>
      <c r="E29" s="25">
        <v>27</v>
      </c>
      <c r="F29" s="25">
        <v>8</v>
      </c>
      <c r="G29" s="27">
        <v>45567</v>
      </c>
      <c r="H29" s="28">
        <f t="shared" si="0"/>
        <v>216</v>
      </c>
    </row>
    <row r="30" spans="1:8">
      <c r="A30" s="25">
        <v>1029</v>
      </c>
      <c r="B30" s="26" t="s">
        <v>90</v>
      </c>
      <c r="C30" s="26" t="s">
        <v>51</v>
      </c>
      <c r="D30" s="26" t="s">
        <v>50</v>
      </c>
      <c r="E30" s="25">
        <v>13</v>
      </c>
      <c r="F30" s="25">
        <v>50</v>
      </c>
      <c r="G30" s="27">
        <v>45628</v>
      </c>
      <c r="H30" s="28">
        <f t="shared" si="0"/>
        <v>650</v>
      </c>
    </row>
    <row r="31" spans="1:8">
      <c r="A31" s="25">
        <v>1030</v>
      </c>
      <c r="B31" s="26" t="s">
        <v>89</v>
      </c>
      <c r="C31" s="26" t="s">
        <v>48</v>
      </c>
      <c r="D31" s="26" t="s">
        <v>47</v>
      </c>
      <c r="E31" s="25">
        <v>32</v>
      </c>
      <c r="F31" s="25">
        <v>10</v>
      </c>
      <c r="G31" s="25" t="s">
        <v>88</v>
      </c>
      <c r="H31" s="28">
        <f t="shared" si="0"/>
        <v>320</v>
      </c>
    </row>
    <row r="32" spans="1:8">
      <c r="A32" s="25">
        <v>1031</v>
      </c>
      <c r="B32" s="26" t="s">
        <v>87</v>
      </c>
      <c r="C32" s="26" t="s">
        <v>57</v>
      </c>
      <c r="D32" s="26" t="s">
        <v>59</v>
      </c>
      <c r="E32" s="25">
        <v>10</v>
      </c>
      <c r="F32" s="25">
        <v>25</v>
      </c>
      <c r="G32" s="25" t="s">
        <v>86</v>
      </c>
      <c r="H32" s="28">
        <f t="shared" si="0"/>
        <v>250</v>
      </c>
    </row>
    <row r="33" spans="1:8">
      <c r="A33" s="25">
        <v>1032</v>
      </c>
      <c r="B33" s="26" t="s">
        <v>85</v>
      </c>
      <c r="C33" s="26" t="s">
        <v>54</v>
      </c>
      <c r="D33" s="26" t="s">
        <v>56</v>
      </c>
      <c r="E33" s="25">
        <v>18</v>
      </c>
      <c r="F33" s="25">
        <v>5</v>
      </c>
      <c r="G33" s="25" t="s">
        <v>84</v>
      </c>
      <c r="H33" s="28">
        <f t="shared" si="0"/>
        <v>90</v>
      </c>
    </row>
    <row r="34" spans="1:8">
      <c r="A34" s="25">
        <v>1033</v>
      </c>
      <c r="B34" s="26" t="s">
        <v>83</v>
      </c>
      <c r="C34" s="26" t="s">
        <v>51</v>
      </c>
      <c r="D34" s="26" t="s">
        <v>53</v>
      </c>
      <c r="E34" s="25">
        <v>22</v>
      </c>
      <c r="F34" s="25">
        <v>8</v>
      </c>
      <c r="G34" s="25" t="s">
        <v>82</v>
      </c>
      <c r="H34" s="28">
        <f t="shared" ref="H34:H51" si="1">E34*F34</f>
        <v>176</v>
      </c>
    </row>
    <row r="35" spans="1:8">
      <c r="A35" s="25">
        <v>1034</v>
      </c>
      <c r="B35" s="26" t="s">
        <v>81</v>
      </c>
      <c r="C35" s="26" t="s">
        <v>48</v>
      </c>
      <c r="D35" s="26" t="s">
        <v>50</v>
      </c>
      <c r="E35" s="25">
        <v>17</v>
      </c>
      <c r="F35" s="25">
        <v>50</v>
      </c>
      <c r="G35" s="25" t="s">
        <v>80</v>
      </c>
      <c r="H35" s="28">
        <f t="shared" si="1"/>
        <v>850</v>
      </c>
    </row>
    <row r="36" spans="1:8">
      <c r="A36" s="25">
        <v>1035</v>
      </c>
      <c r="B36" s="26" t="s">
        <v>79</v>
      </c>
      <c r="C36" s="26" t="s">
        <v>57</v>
      </c>
      <c r="D36" s="26" t="s">
        <v>47</v>
      </c>
      <c r="E36" s="25">
        <v>19</v>
      </c>
      <c r="F36" s="25">
        <v>10</v>
      </c>
      <c r="G36" s="25" t="s">
        <v>78</v>
      </c>
      <c r="H36" s="28">
        <f t="shared" si="1"/>
        <v>190</v>
      </c>
    </row>
    <row r="37" spans="1:8">
      <c r="A37" s="25">
        <v>1036</v>
      </c>
      <c r="B37" s="26" t="s">
        <v>77</v>
      </c>
      <c r="C37" s="26" t="s">
        <v>54</v>
      </c>
      <c r="D37" s="26" t="s">
        <v>59</v>
      </c>
      <c r="E37" s="25">
        <v>15</v>
      </c>
      <c r="F37" s="25">
        <v>25</v>
      </c>
      <c r="G37" s="25" t="s">
        <v>76</v>
      </c>
      <c r="H37" s="28">
        <f t="shared" si="1"/>
        <v>375</v>
      </c>
    </row>
    <row r="38" spans="1:8">
      <c r="A38" s="25">
        <v>1037</v>
      </c>
      <c r="B38" s="26" t="s">
        <v>75</v>
      </c>
      <c r="C38" s="26" t="s">
        <v>51</v>
      </c>
      <c r="D38" s="26" t="s">
        <v>56</v>
      </c>
      <c r="E38" s="25">
        <v>28</v>
      </c>
      <c r="F38" s="25">
        <v>5</v>
      </c>
      <c r="G38" s="25" t="s">
        <v>74</v>
      </c>
      <c r="H38" s="28">
        <f t="shared" si="1"/>
        <v>140</v>
      </c>
    </row>
    <row r="39" spans="1:8">
      <c r="A39" s="25">
        <v>1038</v>
      </c>
      <c r="B39" s="26" t="s">
        <v>73</v>
      </c>
      <c r="C39" s="26" t="s">
        <v>48</v>
      </c>
      <c r="D39" s="26" t="s">
        <v>53</v>
      </c>
      <c r="E39" s="25">
        <v>24</v>
      </c>
      <c r="F39" s="25">
        <v>8</v>
      </c>
      <c r="G39" s="25" t="s">
        <v>72</v>
      </c>
      <c r="H39" s="28">
        <f t="shared" si="1"/>
        <v>192</v>
      </c>
    </row>
    <row r="40" spans="1:8">
      <c r="A40" s="25">
        <v>1039</v>
      </c>
      <c r="B40" s="26" t="s">
        <v>71</v>
      </c>
      <c r="C40" s="26" t="s">
        <v>57</v>
      </c>
      <c r="D40" s="26" t="s">
        <v>50</v>
      </c>
      <c r="E40" s="25">
        <v>16</v>
      </c>
      <c r="F40" s="25">
        <v>50</v>
      </c>
      <c r="G40" s="25" t="s">
        <v>70</v>
      </c>
      <c r="H40" s="28">
        <f t="shared" si="1"/>
        <v>800</v>
      </c>
    </row>
    <row r="41" spans="1:8">
      <c r="A41" s="25">
        <v>1040</v>
      </c>
      <c r="B41" s="26" t="s">
        <v>69</v>
      </c>
      <c r="C41" s="26" t="s">
        <v>54</v>
      </c>
      <c r="D41" s="26" t="s">
        <v>47</v>
      </c>
      <c r="E41" s="25">
        <v>27</v>
      </c>
      <c r="F41" s="25">
        <v>10</v>
      </c>
      <c r="G41" s="25" t="s">
        <v>68</v>
      </c>
      <c r="H41" s="28">
        <f t="shared" si="1"/>
        <v>270</v>
      </c>
    </row>
    <row r="42" spans="1:8">
      <c r="A42" s="25">
        <v>1041</v>
      </c>
      <c r="B42" s="26" t="s">
        <v>67</v>
      </c>
      <c r="C42" s="26" t="s">
        <v>51</v>
      </c>
      <c r="D42" s="26" t="s">
        <v>59</v>
      </c>
      <c r="E42" s="25">
        <v>21</v>
      </c>
      <c r="F42" s="25">
        <v>25</v>
      </c>
      <c r="G42" s="25" t="s">
        <v>66</v>
      </c>
      <c r="H42" s="28">
        <f t="shared" si="1"/>
        <v>525</v>
      </c>
    </row>
    <row r="43" spans="1:8">
      <c r="A43" s="25">
        <v>1042</v>
      </c>
      <c r="B43" s="26" t="s">
        <v>65</v>
      </c>
      <c r="C43" s="26" t="s">
        <v>48</v>
      </c>
      <c r="D43" s="26" t="s">
        <v>56</v>
      </c>
      <c r="E43" s="25">
        <v>30</v>
      </c>
      <c r="F43" s="25">
        <v>5</v>
      </c>
      <c r="G43" s="25" t="s">
        <v>64</v>
      </c>
      <c r="H43" s="28">
        <f t="shared" si="1"/>
        <v>150</v>
      </c>
    </row>
    <row r="44" spans="1:8">
      <c r="A44" s="25">
        <v>1043</v>
      </c>
      <c r="B44" s="26" t="s">
        <v>63</v>
      </c>
      <c r="C44" s="26" t="s">
        <v>57</v>
      </c>
      <c r="D44" s="26" t="s">
        <v>53</v>
      </c>
      <c r="E44" s="25">
        <v>26</v>
      </c>
      <c r="F44" s="25">
        <v>8</v>
      </c>
      <c r="G44" s="27">
        <v>45294</v>
      </c>
      <c r="H44" s="28">
        <f t="shared" si="1"/>
        <v>208</v>
      </c>
    </row>
    <row r="45" spans="1:8">
      <c r="A45" s="25">
        <v>1044</v>
      </c>
      <c r="B45" s="26" t="s">
        <v>62</v>
      </c>
      <c r="C45" s="26" t="s">
        <v>54</v>
      </c>
      <c r="D45" s="26" t="s">
        <v>50</v>
      </c>
      <c r="E45" s="25">
        <v>14</v>
      </c>
      <c r="F45" s="25">
        <v>50</v>
      </c>
      <c r="G45" s="27">
        <v>45325</v>
      </c>
      <c r="H45" s="28">
        <f t="shared" si="1"/>
        <v>700</v>
      </c>
    </row>
    <row r="46" spans="1:8">
      <c r="A46" s="25">
        <v>1045</v>
      </c>
      <c r="B46" s="26" t="s">
        <v>61</v>
      </c>
      <c r="C46" s="26" t="s">
        <v>51</v>
      </c>
      <c r="D46" s="26" t="s">
        <v>47</v>
      </c>
      <c r="E46" s="25">
        <v>20</v>
      </c>
      <c r="F46" s="25">
        <v>10</v>
      </c>
      <c r="G46" s="27">
        <v>45354</v>
      </c>
      <c r="H46" s="28">
        <f t="shared" si="1"/>
        <v>200</v>
      </c>
    </row>
    <row r="47" spans="1:8">
      <c r="A47" s="25">
        <v>1046</v>
      </c>
      <c r="B47" s="26" t="s">
        <v>60</v>
      </c>
      <c r="C47" s="26" t="s">
        <v>48</v>
      </c>
      <c r="D47" s="26" t="s">
        <v>59</v>
      </c>
      <c r="E47" s="25">
        <v>17</v>
      </c>
      <c r="F47" s="25">
        <v>25</v>
      </c>
      <c r="G47" s="27">
        <v>45385</v>
      </c>
      <c r="H47" s="28">
        <f t="shared" si="1"/>
        <v>425</v>
      </c>
    </row>
    <row r="48" spans="1:8">
      <c r="A48" s="25">
        <v>1047</v>
      </c>
      <c r="B48" s="26" t="s">
        <v>58</v>
      </c>
      <c r="C48" s="26" t="s">
        <v>57</v>
      </c>
      <c r="D48" s="26" t="s">
        <v>56</v>
      </c>
      <c r="E48" s="25">
        <v>19</v>
      </c>
      <c r="F48" s="25">
        <v>5</v>
      </c>
      <c r="G48" s="27">
        <v>45415</v>
      </c>
      <c r="H48" s="28">
        <f t="shared" si="1"/>
        <v>95</v>
      </c>
    </row>
    <row r="49" spans="1:8">
      <c r="A49" s="25">
        <v>1048</v>
      </c>
      <c r="B49" s="26" t="s">
        <v>55</v>
      </c>
      <c r="C49" s="26" t="s">
        <v>54</v>
      </c>
      <c r="D49" s="26" t="s">
        <v>53</v>
      </c>
      <c r="E49" s="25">
        <v>32</v>
      </c>
      <c r="F49" s="25">
        <v>8</v>
      </c>
      <c r="G49" s="27">
        <v>45446</v>
      </c>
      <c r="H49" s="28">
        <f t="shared" si="1"/>
        <v>256</v>
      </c>
    </row>
    <row r="50" spans="1:8">
      <c r="A50" s="25">
        <v>1049</v>
      </c>
      <c r="B50" s="26" t="s">
        <v>52</v>
      </c>
      <c r="C50" s="26" t="s">
        <v>51</v>
      </c>
      <c r="D50" s="26" t="s">
        <v>50</v>
      </c>
      <c r="E50" s="25">
        <v>12</v>
      </c>
      <c r="F50" s="25">
        <v>50</v>
      </c>
      <c r="G50" s="27">
        <v>45476</v>
      </c>
      <c r="H50" s="28">
        <f t="shared" si="1"/>
        <v>600</v>
      </c>
    </row>
    <row r="51" spans="1:8">
      <c r="A51" s="25">
        <v>1050</v>
      </c>
      <c r="B51" s="26" t="s">
        <v>49</v>
      </c>
      <c r="C51" s="26" t="s">
        <v>48</v>
      </c>
      <c r="D51" s="26" t="s">
        <v>47</v>
      </c>
      <c r="E51" s="25">
        <v>25</v>
      </c>
      <c r="F51" s="25">
        <v>10</v>
      </c>
      <c r="G51" s="27">
        <v>45507</v>
      </c>
      <c r="H51" s="28">
        <f t="shared" si="1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ansari</dc:creator>
  <cp:lastModifiedBy>mahtab ansari</cp:lastModifiedBy>
  <dcterms:created xsi:type="dcterms:W3CDTF">2025-12-30T06:19:18Z</dcterms:created>
  <dcterms:modified xsi:type="dcterms:W3CDTF">2025-12-30T11:08:47Z</dcterms:modified>
</cp:coreProperties>
</file>