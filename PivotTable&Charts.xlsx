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24226"/>
  <mc:AlternateContent xmlns:mc="http://schemas.openxmlformats.org/markup-compatibility/2006">
    <mc:Choice Requires="x15">
      <x15ac:absPath xmlns:x15ac="http://schemas.microsoft.com/office/spreadsheetml/2010/11/ac" url="C:\Users\mahta\Documents\"/>
    </mc:Choice>
  </mc:AlternateContent>
  <xr:revisionPtr revIDLastSave="0" documentId="13_ncr:1_{7938CE5C-2871-47B3-A33D-69EF7DCA83AC}" xr6:coauthVersionLast="47" xr6:coauthVersionMax="47" xr10:uidLastSave="{00000000-0000-0000-0000-000000000000}"/>
  <bookViews>
    <workbookView xWindow="-108" yWindow="-108" windowWidth="23256" windowHeight="12456" xr2:uid="{00000000-000D-0000-FFFF-FFFF00000000}"/>
  </bookViews>
  <sheets>
    <sheet name="Q.1" sheetId="1" r:id="rId1"/>
    <sheet name="Q.2" sheetId="7" r:id="rId2"/>
    <sheet name="Q.3" sheetId="8" r:id="rId3"/>
    <sheet name="Q.4" sheetId="9" r:id="rId4"/>
    <sheet name="Q.5" sheetId="10" r:id="rId5"/>
    <sheet name="Q.6" sheetId="11" r:id="rId6"/>
    <sheet name="Q.7" sheetId="12" r:id="rId7"/>
    <sheet name="Q.8" sheetId="13" r:id="rId8"/>
    <sheet name="Q.9" sheetId="14" r:id="rId9"/>
    <sheet name="Q.10" sheetId="15" r:id="rId10"/>
  </sheets>
  <definedNames>
    <definedName name="Slicer_Product">#N/A</definedName>
    <definedName name="Slicer_Product1">#N/A</definedName>
  </definedNames>
  <calcPr calcId="191029"/>
  <pivotCaches>
    <pivotCache cacheId="0" r:id="rId11"/>
    <pivotCache cacheId="1" r:id="rId12"/>
    <pivotCache cacheId="10" r:id="rId13"/>
    <pivotCache cacheId="18" r:id="rId14"/>
    <pivotCache cacheId="22" r:id="rId15"/>
    <pivotCache cacheId="3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 i="14" l="1"/>
</calcChain>
</file>

<file path=xl/sharedStrings.xml><?xml version="1.0" encoding="utf-8"?>
<sst xmlns="http://schemas.openxmlformats.org/spreadsheetml/2006/main" count="471" uniqueCount="81">
  <si>
    <t>Date</t>
  </si>
  <si>
    <t>Region</t>
  </si>
  <si>
    <t>Product</t>
  </si>
  <si>
    <t>Sales</t>
  </si>
  <si>
    <t>Quantity</t>
  </si>
  <si>
    <t>West</t>
  </si>
  <si>
    <t>South</t>
  </si>
  <si>
    <t>East</t>
  </si>
  <si>
    <t>North</t>
  </si>
  <si>
    <t>Mangoes</t>
  </si>
  <si>
    <t>Oranges</t>
  </si>
  <si>
    <t>Apples</t>
  </si>
  <si>
    <t xml:space="preserve"> </t>
  </si>
  <si>
    <t>Grand Total</t>
  </si>
  <si>
    <t>Jan</t>
  </si>
  <si>
    <t>Feb</t>
  </si>
  <si>
    <t>Mar</t>
  </si>
  <si>
    <t>Jun</t>
  </si>
  <si>
    <t>Apr</t>
  </si>
  <si>
    <t>May</t>
  </si>
  <si>
    <t>Q.1</t>
  </si>
  <si>
    <t>What is the purpose of a PivotTable in Excel?</t>
  </si>
  <si>
    <t>Answer</t>
  </si>
  <si>
    <t>PivotTable in Excel is used to quickly summarize, analyze, explore</t>
  </si>
  <si>
    <t>In simple terms, PivotTable turns raw data into meaningful insights</t>
  </si>
  <si>
    <t>in seconds.</t>
  </si>
  <si>
    <t>and present large amounts of data without writing complex formulas.</t>
  </si>
  <si>
    <t>Q.2</t>
  </si>
  <si>
    <t>Create a PivotTable to show Total Sales by Region</t>
  </si>
  <si>
    <t>Total Sales</t>
  </si>
  <si>
    <t>Regions</t>
  </si>
  <si>
    <t>Q.3</t>
  </si>
  <si>
    <t>Apply Conditional Formatting to highlight sales greater than 400.</t>
  </si>
  <si>
    <t>I've higlighted the rows which contains sales greater than 400 with</t>
  </si>
  <si>
    <r>
      <t xml:space="preserve">light green color with the help of </t>
    </r>
    <r>
      <rPr>
        <b/>
        <sz val="14"/>
        <color theme="1"/>
        <rFont val="Calibri"/>
        <family val="2"/>
        <scheme val="minor"/>
      </rPr>
      <t>conditinal formatting</t>
    </r>
    <r>
      <rPr>
        <sz val="14"/>
        <color theme="1"/>
        <rFont val="Calibri"/>
        <family val="2"/>
        <scheme val="minor"/>
      </rPr>
      <t xml:space="preserve"> option.</t>
    </r>
  </si>
  <si>
    <t>Q.4</t>
  </si>
  <si>
    <t>Explain the difference between Sorting and Filtering with an example from this dataset.</t>
  </si>
  <si>
    <r>
      <t xml:space="preserve">Sorting: </t>
    </r>
    <r>
      <rPr>
        <sz val="14"/>
        <color theme="1"/>
        <rFont val="Calibri"/>
        <family val="2"/>
        <scheme val="minor"/>
      </rPr>
      <t>Sorting is used to rearrange the order of data based on one or more columns.</t>
    </r>
  </si>
  <si>
    <r>
      <t xml:space="preserve">Filtering: </t>
    </r>
    <r>
      <rPr>
        <sz val="14"/>
        <color theme="1"/>
        <rFont val="Calibri"/>
        <family val="2"/>
        <scheme val="minor"/>
      </rPr>
      <t>Filtering is used to show only specific rows that meets the given criteria.</t>
    </r>
  </si>
  <si>
    <t>It changes the order of data and shows all the rows.</t>
  </si>
  <si>
    <r>
      <t>Example:</t>
    </r>
    <r>
      <rPr>
        <sz val="14"/>
        <color theme="1"/>
        <rFont val="Calibri"/>
        <family val="2"/>
        <scheme val="minor"/>
      </rPr>
      <t xml:space="preserve"> If I've to see given data in descending order of </t>
    </r>
    <r>
      <rPr>
        <b/>
        <sz val="14"/>
        <color theme="1"/>
        <rFont val="Calibri"/>
        <family val="2"/>
        <scheme val="minor"/>
      </rPr>
      <t>Sales</t>
    </r>
    <r>
      <rPr>
        <sz val="14"/>
        <color theme="1"/>
        <rFont val="Calibri"/>
        <family val="2"/>
        <scheme val="minor"/>
      </rPr>
      <t xml:space="preserve"> (High - Low), I'll use</t>
    </r>
  </si>
  <si>
    <t>sorting, so that I'll see all the data but in descending order with respect to Sales. I can do</t>
  </si>
  <si>
    <r>
      <t xml:space="preserve">this by going in </t>
    </r>
    <r>
      <rPr>
        <b/>
        <sz val="14"/>
        <color theme="1"/>
        <rFont val="Calibri"/>
        <family val="2"/>
        <scheme val="minor"/>
      </rPr>
      <t>Data tab</t>
    </r>
    <r>
      <rPr>
        <sz val="14"/>
        <color theme="1"/>
        <rFont val="Calibri"/>
        <family val="2"/>
        <scheme val="minor"/>
      </rPr>
      <t xml:space="preserve"> and by selecting </t>
    </r>
    <r>
      <rPr>
        <b/>
        <sz val="14"/>
        <color theme="1"/>
        <rFont val="Calibri"/>
        <family val="2"/>
        <scheme val="minor"/>
      </rPr>
      <t>Sort</t>
    </r>
    <r>
      <rPr>
        <sz val="14"/>
        <color theme="1"/>
        <rFont val="Calibri"/>
        <family val="2"/>
        <scheme val="minor"/>
      </rPr>
      <t xml:space="preserve"> option from </t>
    </r>
    <r>
      <rPr>
        <b/>
        <sz val="14"/>
        <color theme="1"/>
        <rFont val="Calibri"/>
        <family val="2"/>
        <scheme val="minor"/>
      </rPr>
      <t>Sort&amp;Filter group.</t>
    </r>
  </si>
  <si>
    <r>
      <rPr>
        <b/>
        <sz val="14"/>
        <color theme="1"/>
        <rFont val="Calibri"/>
        <family val="2"/>
        <scheme val="minor"/>
      </rPr>
      <t>Example:</t>
    </r>
    <r>
      <rPr>
        <sz val="14"/>
        <color theme="1"/>
        <rFont val="Calibri"/>
        <family val="2"/>
        <scheme val="minor"/>
      </rPr>
      <t xml:space="preserve"> If I've to see the data of </t>
    </r>
    <r>
      <rPr>
        <b/>
        <sz val="14"/>
        <color theme="1"/>
        <rFont val="Calibri"/>
        <family val="2"/>
        <scheme val="minor"/>
      </rPr>
      <t xml:space="preserve">South </t>
    </r>
    <r>
      <rPr>
        <sz val="14"/>
        <color theme="1"/>
        <rFont val="Calibri"/>
        <family val="2"/>
        <scheme val="minor"/>
      </rPr>
      <t>region only, I'll use filtering, so that I can see</t>
    </r>
  </si>
  <si>
    <r>
      <t xml:space="preserve">only rows which contains South region. I can do this by going in </t>
    </r>
    <r>
      <rPr>
        <b/>
        <sz val="14"/>
        <color theme="1"/>
        <rFont val="Calibri"/>
        <family val="2"/>
        <scheme val="minor"/>
      </rPr>
      <t>Data tab</t>
    </r>
    <r>
      <rPr>
        <sz val="14"/>
        <color theme="1"/>
        <rFont val="Calibri"/>
        <family val="2"/>
        <scheme val="minor"/>
      </rPr>
      <t xml:space="preserve"> and by selecting</t>
    </r>
  </si>
  <si>
    <r>
      <t xml:space="preserve">Filter </t>
    </r>
    <r>
      <rPr>
        <sz val="14"/>
        <color theme="1"/>
        <rFont val="Calibri"/>
        <family val="2"/>
        <scheme val="minor"/>
      </rPr>
      <t xml:space="preserve">option from </t>
    </r>
    <r>
      <rPr>
        <b/>
        <sz val="14"/>
        <color theme="1"/>
        <rFont val="Calibri"/>
        <family val="2"/>
        <scheme val="minor"/>
      </rPr>
      <t>Sort&amp;Filter group.</t>
    </r>
  </si>
  <si>
    <t>It doesn't change the order of data but shows selected rows.</t>
  </si>
  <si>
    <t>Q.5</t>
  </si>
  <si>
    <t>Create a PivotChart showing Monthly Sales Trend.</t>
  </si>
  <si>
    <t>Months</t>
  </si>
  <si>
    <t>Q.6</t>
  </si>
  <si>
    <t>Use a Slicer to filter data by Product and observe changes in sales.</t>
  </si>
  <si>
    <t>Q.7</t>
  </si>
  <si>
    <t>Why are Dashboards important for decision-making in business analysis?</t>
  </si>
  <si>
    <t>A dashboard is a visual summary of key business data shown through charts,</t>
  </si>
  <si>
    <t>tables and KPI's. It's main purpose is to support fast, accurate and confident</t>
  </si>
  <si>
    <t>decisions.</t>
  </si>
  <si>
    <t>Decision-makers don't have time to read large reports, they want information</t>
  </si>
  <si>
    <t>that's why dashboards are important for decision-making in business analysis.</t>
  </si>
  <si>
    <t>about key metrics aligned with their goals and dashboards does the same thing,</t>
  </si>
  <si>
    <t>Products</t>
  </si>
  <si>
    <t>By using Slicer, I can see the changes in total sales for products and</t>
  </si>
  <si>
    <r>
      <t xml:space="preserve">my observation is, the total sales for </t>
    </r>
    <r>
      <rPr>
        <b/>
        <sz val="14"/>
        <color theme="1"/>
        <rFont val="Calibri"/>
        <family val="2"/>
        <scheme val="minor"/>
      </rPr>
      <t>Mangoes</t>
    </r>
    <r>
      <rPr>
        <sz val="14"/>
        <color theme="1"/>
        <rFont val="Calibri"/>
        <family val="2"/>
        <scheme val="minor"/>
      </rPr>
      <t xml:space="preserve"> has been highest </t>
    </r>
  </si>
  <si>
    <r>
      <t xml:space="preserve">among all the products and lowest sales is of </t>
    </r>
    <r>
      <rPr>
        <b/>
        <sz val="14"/>
        <color theme="1"/>
        <rFont val="Calibri"/>
        <family val="2"/>
        <scheme val="minor"/>
      </rPr>
      <t>Apples</t>
    </r>
    <r>
      <rPr>
        <sz val="14"/>
        <color theme="1"/>
        <rFont val="Calibri"/>
        <family val="2"/>
        <scheme val="minor"/>
      </rPr>
      <t>.</t>
    </r>
  </si>
  <si>
    <r>
      <t xml:space="preserve">the sales of </t>
    </r>
    <r>
      <rPr>
        <b/>
        <sz val="14"/>
        <color theme="1"/>
        <rFont val="Calibri"/>
        <family val="2"/>
        <scheme val="minor"/>
      </rPr>
      <t>Apples.</t>
    </r>
  </si>
  <si>
    <t>So, my observation is, we should be focusing on ways to increase</t>
  </si>
  <si>
    <t>Q.8</t>
  </si>
  <si>
    <t>Create a Dashboard that includes:</t>
  </si>
  <si>
    <t xml:space="preserve"> - Sales by Region (PivotTable + Chart)</t>
  </si>
  <si>
    <t xml:space="preserve"> - Product Filter (Slicer)</t>
  </si>
  <si>
    <t xml:space="preserve"> - Monthly Trend (Line Chart)</t>
  </si>
  <si>
    <t>Q.9</t>
  </si>
  <si>
    <t>Group dates in the PivotTable into Months and calculate the average sales per month.</t>
  </si>
  <si>
    <t>Avg Sales per month</t>
  </si>
  <si>
    <r>
      <t xml:space="preserve">For calculating </t>
    </r>
    <r>
      <rPr>
        <b/>
        <sz val="14"/>
        <color theme="1"/>
        <rFont val="Calibri"/>
        <family val="2"/>
        <scheme val="minor"/>
      </rPr>
      <t xml:space="preserve">average sales per month, </t>
    </r>
    <r>
      <rPr>
        <sz val="14"/>
        <color theme="1"/>
        <rFont val="Calibri"/>
        <family val="2"/>
        <scheme val="minor"/>
      </rPr>
      <t>in cell</t>
    </r>
    <r>
      <rPr>
        <b/>
        <sz val="14"/>
        <color theme="1"/>
        <rFont val="Calibri"/>
        <family val="2"/>
        <scheme val="minor"/>
      </rPr>
      <t xml:space="preserve"> K12 </t>
    </r>
    <r>
      <rPr>
        <sz val="14"/>
        <color theme="1"/>
        <rFont val="Calibri"/>
        <family val="2"/>
        <scheme val="minor"/>
      </rPr>
      <t>I used this formula</t>
    </r>
    <r>
      <rPr>
        <b/>
        <sz val="14"/>
        <color theme="1"/>
        <rFont val="Calibri"/>
        <family val="2"/>
        <scheme val="minor"/>
      </rPr>
      <t>: =AVERAGE(K5:K10)</t>
    </r>
  </si>
  <si>
    <t>Q.10</t>
  </si>
  <si>
    <t>Combine Apples and Oranges into one group called Fruits and compare its sales with other products.</t>
  </si>
  <si>
    <t>Fruits</t>
  </si>
  <si>
    <r>
      <t xml:space="preserve">After grouping </t>
    </r>
    <r>
      <rPr>
        <b/>
        <sz val="14"/>
        <color theme="1"/>
        <rFont val="Calibri"/>
        <family val="2"/>
        <scheme val="minor"/>
      </rPr>
      <t xml:space="preserve">Apples </t>
    </r>
    <r>
      <rPr>
        <sz val="14"/>
        <color theme="1"/>
        <rFont val="Calibri"/>
        <family val="2"/>
        <scheme val="minor"/>
      </rPr>
      <t xml:space="preserve">and </t>
    </r>
    <r>
      <rPr>
        <b/>
        <sz val="14"/>
        <color theme="1"/>
        <rFont val="Calibri"/>
        <family val="2"/>
        <scheme val="minor"/>
      </rPr>
      <t>Oranges</t>
    </r>
    <r>
      <rPr>
        <sz val="14"/>
        <color theme="1"/>
        <rFont val="Calibri"/>
        <family val="2"/>
        <scheme val="minor"/>
      </rPr>
      <t xml:space="preserve"> into one group called </t>
    </r>
    <r>
      <rPr>
        <b/>
        <sz val="14"/>
        <color theme="1"/>
        <rFont val="Calibri"/>
        <family val="2"/>
        <scheme val="minor"/>
      </rPr>
      <t>Fruits</t>
    </r>
    <r>
      <rPr>
        <sz val="14"/>
        <color theme="1"/>
        <rFont val="Calibri"/>
        <family val="2"/>
        <scheme val="minor"/>
      </rPr>
      <t xml:space="preserve">, the total sales for </t>
    </r>
    <r>
      <rPr>
        <b/>
        <sz val="14"/>
        <color theme="1"/>
        <rFont val="Calibri"/>
        <family val="2"/>
        <scheme val="minor"/>
      </rPr>
      <t>Fruits</t>
    </r>
    <r>
      <rPr>
        <sz val="14"/>
        <color theme="1"/>
        <rFont val="Calibri"/>
        <family val="2"/>
        <scheme val="minor"/>
      </rPr>
      <t xml:space="preserve"> are </t>
    </r>
    <r>
      <rPr>
        <b/>
        <sz val="14"/>
        <color theme="1"/>
        <rFont val="Calibri"/>
        <family val="2"/>
        <scheme val="minor"/>
      </rPr>
      <t>4308</t>
    </r>
    <r>
      <rPr>
        <sz val="14"/>
        <color theme="1"/>
        <rFont val="Calibri"/>
        <family val="2"/>
        <scheme val="minor"/>
      </rPr>
      <t>,</t>
    </r>
  </si>
  <si>
    <r>
      <t xml:space="preserve">which is significantly higher than </t>
    </r>
    <r>
      <rPr>
        <b/>
        <sz val="14"/>
        <color theme="1"/>
        <rFont val="Calibri"/>
        <family val="2"/>
        <scheme val="minor"/>
      </rPr>
      <t>Mangoes</t>
    </r>
    <r>
      <rPr>
        <sz val="14"/>
        <color theme="1"/>
        <rFont val="Calibri"/>
        <family val="2"/>
        <scheme val="minor"/>
      </rPr>
      <t xml:space="preserve">, which has sales of </t>
    </r>
    <r>
      <rPr>
        <b/>
        <sz val="14"/>
        <color theme="1"/>
        <rFont val="Calibri"/>
        <family val="2"/>
        <scheme val="minor"/>
      </rPr>
      <t xml:space="preserve">2521. </t>
    </r>
    <r>
      <rPr>
        <sz val="14"/>
        <color theme="1"/>
        <rFont val="Calibri"/>
        <family val="2"/>
        <scheme val="minor"/>
      </rPr>
      <t>This indicates that combined fruits</t>
    </r>
  </si>
  <si>
    <r>
      <t>sales outperform</t>
    </r>
    <r>
      <rPr>
        <b/>
        <sz val="14"/>
        <color theme="1"/>
        <rFont val="Calibri"/>
        <family val="2"/>
        <scheme val="minor"/>
      </rPr>
      <t xml:space="preserve"> Mangoes,</t>
    </r>
    <r>
      <rPr>
        <sz val="14"/>
        <color theme="1"/>
        <rFont val="Calibri"/>
        <family val="2"/>
        <scheme val="minor"/>
      </rPr>
      <t xml:space="preserve"> making it top selling category.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</si>
</sst>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 x14ac:knownFonts="1">
    <font>
      <sz val="11"/>
      <color theme="1"/>
      <name val="Calibri"/>
      <family val="2"/>
      <scheme val="minor"/>
    </font>
    <font>
      <b/>
      <sz val="14"/>
      <color theme="1"/>
      <name val="Calibri"/>
      <family val="2"/>
      <scheme val="minor"/>
    </font>
    <font>
      <sz val="14"/>
      <color theme="1"/>
      <name val="Calibri"/>
      <family val="2"/>
      <scheme val="minor"/>
    </font>
    <font>
      <b/>
      <sz val="14"/>
      <color theme="4" tint="0.79998168889431442"/>
      <name val="Calibri"/>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4"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right/>
      <top/>
      <bottom style="thin">
        <color auto="1"/>
      </bottom>
      <diagonal/>
    </border>
  </borders>
  <cellStyleXfs count="1">
    <xf numFmtId="0" fontId="0" fillId="0" borderId="0"/>
  </cellStyleXfs>
  <cellXfs count="61">
    <xf numFmtId="0" fontId="0" fillId="0" borderId="0" xfId="0"/>
    <xf numFmtId="0" fontId="1" fillId="0" borderId="0" xfId="0" applyFont="1" applyAlignment="1">
      <alignment horizontal="center" vertical="top"/>
    </xf>
    <xf numFmtId="0" fontId="2" fillId="0" borderId="0" xfId="0" applyFont="1"/>
    <xf numFmtId="0" fontId="3" fillId="2" borderId="1" xfId="0" applyFont="1" applyFill="1" applyBorder="1" applyAlignment="1">
      <alignment horizontal="center" vertical="top"/>
    </xf>
    <xf numFmtId="164" fontId="2" fillId="3" borderId="1" xfId="0" applyNumberFormat="1" applyFont="1" applyFill="1" applyBorder="1" applyAlignment="1">
      <alignment horizontal="center"/>
    </xf>
    <xf numFmtId="0" fontId="2" fillId="3" borderId="1" xfId="0" applyFont="1" applyFill="1" applyBorder="1" applyAlignment="1">
      <alignment horizontal="center"/>
    </xf>
    <xf numFmtId="0" fontId="3" fillId="2" borderId="5" xfId="0" applyFont="1" applyFill="1" applyBorder="1" applyAlignment="1">
      <alignment horizontal="center" vertical="top"/>
    </xf>
    <xf numFmtId="0" fontId="2" fillId="3" borderId="5" xfId="0" applyFont="1" applyFill="1" applyBorder="1" applyAlignment="1">
      <alignment horizontal="left"/>
    </xf>
    <xf numFmtId="0" fontId="2" fillId="3" borderId="2" xfId="0" applyFont="1" applyFill="1" applyBorder="1" applyAlignment="1">
      <alignment horizontal="left"/>
    </xf>
    <xf numFmtId="0" fontId="2" fillId="3" borderId="6" xfId="0" applyFont="1" applyFill="1" applyBorder="1" applyAlignment="1">
      <alignment horizontal="left"/>
    </xf>
    <xf numFmtId="0" fontId="1" fillId="3" borderId="3" xfId="0" applyFont="1" applyFill="1" applyBorder="1" applyAlignment="1">
      <alignment horizontal="center"/>
    </xf>
    <xf numFmtId="0" fontId="2" fillId="0" borderId="0" xfId="0" pivotButton="1" applyFont="1"/>
    <xf numFmtId="0" fontId="2" fillId="0" borderId="0" xfId="0" applyFont="1" applyAlignment="1">
      <alignment horizontal="left"/>
    </xf>
    <xf numFmtId="165" fontId="3" fillId="2" borderId="1" xfId="0" applyNumberFormat="1" applyFont="1" applyFill="1" applyBorder="1" applyAlignment="1">
      <alignment horizontal="center" vertical="top"/>
    </xf>
    <xf numFmtId="165" fontId="2" fillId="3" borderId="1" xfId="0" applyNumberFormat="1" applyFont="1" applyFill="1" applyBorder="1" applyAlignment="1">
      <alignment horizontal="center"/>
    </xf>
    <xf numFmtId="165" fontId="2" fillId="0" borderId="0" xfId="0" applyNumberFormat="1" applyFont="1"/>
    <xf numFmtId="0" fontId="1" fillId="3" borderId="1" xfId="0" applyFont="1" applyFill="1" applyBorder="1" applyAlignment="1">
      <alignment horizontal="center"/>
    </xf>
    <xf numFmtId="0" fontId="2" fillId="3" borderId="1" xfId="0" applyFont="1" applyFill="1" applyBorder="1" applyAlignment="1">
      <alignment horizontal="right"/>
    </xf>
    <xf numFmtId="0" fontId="1" fillId="3" borderId="5" xfId="0" applyFont="1" applyFill="1" applyBorder="1"/>
    <xf numFmtId="0" fontId="2" fillId="3" borderId="2" xfId="0" applyFont="1" applyFill="1" applyBorder="1"/>
    <xf numFmtId="0" fontId="1" fillId="3" borderId="2" xfId="0" applyFont="1" applyFill="1" applyBorder="1"/>
    <xf numFmtId="0" fontId="2" fillId="3" borderId="6" xfId="0" applyFont="1" applyFill="1" applyBorder="1"/>
    <xf numFmtId="0" fontId="1" fillId="3" borderId="6" xfId="0" applyFont="1" applyFill="1" applyBorder="1"/>
    <xf numFmtId="0" fontId="2" fillId="3" borderId="5" xfId="0" applyFont="1" applyFill="1" applyBorder="1"/>
    <xf numFmtId="0" fontId="2" fillId="0" borderId="0" xfId="0" applyFont="1" applyAlignment="1">
      <alignment horizontal="right"/>
    </xf>
    <xf numFmtId="0" fontId="2" fillId="0" borderId="0" xfId="0" applyNumberFormat="1" applyFont="1"/>
    <xf numFmtId="0" fontId="2" fillId="3" borderId="3" xfId="0" applyFont="1" applyFill="1" applyBorder="1" applyAlignment="1">
      <alignment horizontal="center"/>
    </xf>
    <xf numFmtId="0" fontId="2" fillId="3" borderId="5" xfId="0" applyFont="1" applyFill="1" applyBorder="1" applyAlignment="1">
      <alignment horizontal="center"/>
    </xf>
    <xf numFmtId="0" fontId="2" fillId="3" borderId="12" xfId="0" applyFont="1" applyFill="1" applyBorder="1" applyAlignment="1">
      <alignment horizontal="center"/>
    </xf>
    <xf numFmtId="0" fontId="2" fillId="0" borderId="0" xfId="0" applyFont="1" applyAlignment="1">
      <alignment horizontal="center"/>
    </xf>
    <xf numFmtId="165" fontId="3" fillId="2" borderId="12" xfId="0" applyNumberFormat="1" applyFont="1" applyFill="1" applyBorder="1" applyAlignment="1">
      <alignment horizontal="center" vertical="top"/>
    </xf>
    <xf numFmtId="164" fontId="2" fillId="3" borderId="12" xfId="0" applyNumberFormat="1" applyFont="1" applyFill="1" applyBorder="1" applyAlignment="1">
      <alignment horizontal="center"/>
    </xf>
    <xf numFmtId="164" fontId="2" fillId="3" borderId="3" xfId="0" applyNumberFormat="1" applyFont="1" applyFill="1" applyBorder="1" applyAlignment="1">
      <alignment horizontal="center"/>
    </xf>
    <xf numFmtId="0" fontId="2" fillId="0" borderId="0" xfId="0" applyFont="1"/>
    <xf numFmtId="0" fontId="2" fillId="3" borderId="12" xfId="0" applyFont="1" applyFill="1" applyBorder="1"/>
    <xf numFmtId="0" fontId="2" fillId="3" borderId="13" xfId="0" applyFont="1" applyFill="1" applyBorder="1"/>
    <xf numFmtId="0" fontId="2" fillId="3" borderId="11" xfId="0" applyFont="1" applyFill="1" applyBorder="1"/>
    <xf numFmtId="0" fontId="2" fillId="3" borderId="4" xfId="0" applyFont="1" applyFill="1" applyBorder="1"/>
    <xf numFmtId="0" fontId="2" fillId="3" borderId="0" xfId="0" applyFont="1" applyFill="1" applyBorder="1"/>
    <xf numFmtId="0" fontId="2" fillId="3" borderId="14" xfId="0" applyFont="1" applyFill="1" applyBorder="1"/>
    <xf numFmtId="0" fontId="2" fillId="3" borderId="10" xfId="0" applyFont="1" applyFill="1" applyBorder="1"/>
    <xf numFmtId="0" fontId="2" fillId="3" borderId="15" xfId="0" applyFont="1" applyFill="1" applyBorder="1"/>
    <xf numFmtId="0" fontId="2" fillId="3" borderId="9" xfId="0" applyFont="1" applyFill="1" applyBorder="1"/>
    <xf numFmtId="0" fontId="2" fillId="3" borderId="14" xfId="0" applyNumberFormat="1" applyFont="1" applyFill="1" applyBorder="1" applyAlignment="1"/>
    <xf numFmtId="0" fontId="2" fillId="3" borderId="14" xfId="0" applyFont="1" applyFill="1" applyBorder="1" applyAlignment="1">
      <alignment horizontal="center"/>
    </xf>
    <xf numFmtId="0" fontId="2" fillId="0" borderId="0" xfId="0" applyFont="1" applyAlignment="1">
      <alignment horizontal="left" indent="1"/>
    </xf>
    <xf numFmtId="0" fontId="3" fillId="2" borderId="1" xfId="0" applyNumberFormat="1" applyFont="1" applyFill="1" applyBorder="1" applyAlignment="1">
      <alignment horizontal="center" vertical="top"/>
    </xf>
    <xf numFmtId="2" fontId="3" fillId="2" borderId="1" xfId="0" applyNumberFormat="1" applyFont="1" applyFill="1" applyBorder="1" applyAlignment="1">
      <alignment horizontal="right" vertical="top"/>
    </xf>
    <xf numFmtId="0" fontId="2" fillId="3" borderId="1" xfId="0" applyFont="1" applyFill="1" applyBorder="1" applyAlignment="1"/>
    <xf numFmtId="0" fontId="3" fillId="2" borderId="12" xfId="0" applyNumberFormat="1" applyFont="1" applyFill="1" applyBorder="1" applyAlignment="1">
      <alignment horizontal="center" vertical="top"/>
    </xf>
    <xf numFmtId="0" fontId="3" fillId="2" borderId="5" xfId="0" applyNumberFormat="1" applyFont="1" applyFill="1" applyBorder="1" applyAlignment="1">
      <alignment horizontal="center" vertical="top"/>
    </xf>
    <xf numFmtId="0" fontId="3" fillId="2" borderId="4" xfId="0" applyNumberFormat="1" applyFont="1" applyFill="1" applyBorder="1" applyAlignment="1">
      <alignment horizontal="center" vertical="top"/>
    </xf>
    <xf numFmtId="0" fontId="3" fillId="2" borderId="0" xfId="0" applyNumberFormat="1" applyFont="1" applyFill="1" applyBorder="1" applyAlignment="1">
      <alignment horizontal="center" vertical="top"/>
    </xf>
    <xf numFmtId="0" fontId="3" fillId="2" borderId="14" xfId="0" applyNumberFormat="1" applyFont="1" applyFill="1" applyBorder="1" applyAlignment="1">
      <alignment horizontal="center" vertical="top"/>
    </xf>
    <xf numFmtId="0" fontId="3" fillId="2" borderId="14" xfId="0" applyNumberFormat="1" applyFont="1" applyFill="1" applyBorder="1" applyAlignment="1">
      <alignment horizontal="right" vertical="top"/>
    </xf>
    <xf numFmtId="0" fontId="3" fillId="2" borderId="0" xfId="0" applyNumberFormat="1" applyFont="1" applyFill="1" applyAlignment="1">
      <alignment horizontal="center" vertical="top"/>
    </xf>
    <xf numFmtId="0" fontId="3" fillId="2" borderId="1" xfId="0" applyNumberFormat="1" applyFont="1" applyFill="1" applyBorder="1" applyAlignment="1">
      <alignment horizontal="right" vertical="top"/>
    </xf>
    <xf numFmtId="0" fontId="3" fillId="2" borderId="1" xfId="0" applyNumberFormat="1" applyFont="1" applyFill="1" applyBorder="1" applyAlignment="1">
      <alignment horizontal="center" vertical="top"/>
    </xf>
    <xf numFmtId="0" fontId="3" fillId="2" borderId="3" xfId="0" applyNumberFormat="1" applyFont="1" applyFill="1" applyBorder="1" applyAlignment="1">
      <alignment horizontal="center" vertical="top"/>
    </xf>
    <xf numFmtId="0" fontId="3" fillId="2" borderId="7" xfId="0" applyNumberFormat="1" applyFont="1" applyFill="1" applyBorder="1" applyAlignment="1">
      <alignment horizontal="center" vertical="top"/>
    </xf>
    <xf numFmtId="0" fontId="3" fillId="2" borderId="8" xfId="0" applyNumberFormat="1" applyFont="1" applyFill="1" applyBorder="1" applyAlignment="1">
      <alignment horizontal="center" vertical="top"/>
    </xf>
  </cellXfs>
  <cellStyles count="1">
    <cellStyle name="Normal" xfId="0" builtinId="0"/>
  </cellStyles>
  <dxfs count="242">
    <dxf>
      <font>
        <sz val="14"/>
      </font>
    </dxf>
    <dxf>
      <font>
        <sz val="14"/>
      </font>
    </dxf>
    <dxf>
      <font>
        <sz val="14"/>
      </font>
    </dxf>
    <dxf>
      <font>
        <sz val="14"/>
      </font>
    </dxf>
    <dxf>
      <font>
        <sz val="14"/>
      </font>
    </dxf>
    <dxf>
      <font>
        <sz val="14"/>
      </font>
    </dxf>
    <dxf>
      <font>
        <b val="0"/>
      </font>
    </dxf>
    <dxf>
      <font>
        <b val="0"/>
      </font>
    </dxf>
    <dxf>
      <font>
        <b/>
      </font>
    </dxf>
    <dxf>
      <font>
        <b val="0"/>
      </font>
    </dxf>
    <dxf>
      <font>
        <b/>
      </font>
    </dxf>
    <dxf>
      <font>
        <b val="0"/>
      </font>
    </dxf>
    <dxf>
      <font>
        <sz val="14"/>
      </font>
    </dxf>
    <dxf>
      <font>
        <sz val="14"/>
      </font>
    </dxf>
    <dxf>
      <font>
        <sz val="14"/>
      </font>
    </dxf>
    <dxf>
      <font>
        <sz val="14"/>
      </font>
    </dxf>
    <dxf>
      <font>
        <sz val="14"/>
      </font>
    </dxf>
    <dxf>
      <font>
        <sz val="14"/>
      </font>
    </dxf>
    <dxf>
      <alignment horizontal="righ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i val="0"/>
        <color theme="1" tint="4.9989318521683403E-2"/>
      </font>
      <fill>
        <patternFill>
          <bgColor rgb="FF92D050"/>
        </patternFill>
      </fill>
    </dxf>
    <dxf>
      <font>
        <b/>
        <i val="0"/>
        <color theme="1" tint="4.9989318521683403E-2"/>
      </font>
      <fill>
        <patternFill>
          <bgColor rgb="FF92D050"/>
        </patternFill>
      </fill>
    </dxf>
    <dxf>
      <font>
        <b/>
        <i val="0"/>
        <color theme="1" tint="4.9989318521683403E-2"/>
      </font>
      <fill>
        <patternFill>
          <bgColor rgb="FF92D05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fill>
        <patternFill patternType="solid">
          <fgColor indexed="64"/>
          <bgColor theme="4" tint="0.79998168889431442"/>
        </patternFill>
      </fill>
      <alignment horizontal="center"/>
    </dxf>
    <dxf>
      <fill>
        <patternFill patternType="solid">
          <fgColor indexed="64"/>
          <bgColor theme="4" tint="0.79998168889431442"/>
        </patternFill>
      </fill>
      <alignment horizontal="center"/>
    </dxf>
    <dxf>
      <font>
        <b/>
        <color theme="4" tint="0.79998168889431442"/>
      </font>
      <numFmt numFmtId="165" formatCode="yyyy/mm/dd\ hh:mm:ss"/>
      <fill>
        <patternFill patternType="solid">
          <fgColor indexed="64"/>
          <bgColor theme="3" tint="-0.499984740745262"/>
        </patternFill>
      </fill>
      <alignment horizontal="center" vertical="top"/>
    </dxf>
    <dxf>
      <font>
        <b/>
        <color theme="4" tint="0.79998168889431442"/>
      </font>
      <numFmt numFmtId="165" formatCode="yyyy/mm/dd\ hh:mm:ss"/>
      <fill>
        <patternFill patternType="solid">
          <fgColor indexed="64"/>
          <bgColor theme="3" tint="-0.499984740745262"/>
        </patternFill>
      </fill>
      <alignment horizontal="center" vertical="top"/>
    </dxf>
    <dxf>
      <font>
        <sz val="14"/>
      </font>
    </dxf>
    <dxf>
      <font>
        <sz val="14"/>
      </font>
    </dxf>
    <dxf>
      <font>
        <sz val="14"/>
      </font>
    </dxf>
    <dxf>
      <font>
        <sz val="14"/>
      </font>
    </dxf>
    <dxf>
      <font>
        <sz val="14"/>
      </font>
    </dxf>
    <dxf>
      <numFmt numFmtId="1" formatCode="0"/>
    </dxf>
    <dxf>
      <numFmt numFmtId="1" formatCode="0"/>
    </dxf>
    <dxf>
      <numFmt numFmtId="1" formatCode="0"/>
    </dxf>
    <dxf>
      <numFmt numFmtId="1" formatCode="0"/>
    </dxf>
    <dxf>
      <font>
        <sz val="14"/>
      </font>
    </dxf>
    <dxf>
      <font>
        <sz val="14"/>
      </font>
    </dxf>
    <dxf>
      <font>
        <sz val="14"/>
      </font>
    </dxf>
    <dxf>
      <alignment horizontal="right"/>
    </dxf>
    <dxf>
      <alignment horizontal="right"/>
    </dxf>
    <dxf>
      <alignment horizontal="righ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alignment horizontal="right"/>
    </dxf>
    <dxf>
      <alignment horizontal="center"/>
    </dxf>
    <dxf>
      <fill>
        <patternFill patternType="solid">
          <fgColor indexed="64"/>
          <bgColor theme="4" tint="0.79998168889431442"/>
        </patternFill>
      </fill>
      <alignment horizontal="general" vertical="bottom" textRotation="0" wrapText="0" indent="0" justifyLastLine="0" shrinkToFit="0" readingOrder="0"/>
    </dxf>
    <dxf>
      <fill>
        <patternFill patternType="solid">
          <fgColor indexed="64"/>
          <bgColor theme="4" tint="0.79998168889431442"/>
        </patternFill>
      </fill>
      <alignment horizontal="general" vertical="bottom" textRotation="0" wrapText="0" indent="0" justifyLastLine="0" shrinkToFit="0" readingOrder="0"/>
    </dxf>
    <dxf>
      <numFmt numFmtId="1" formatCode="0"/>
    </dxf>
    <dxf>
      <font>
        <b/>
        <color theme="4" tint="0.79998168889431442"/>
      </font>
      <numFmt numFmtId="165" formatCode="yyyy/mm/dd\ hh:mm:ss"/>
      <fill>
        <patternFill patternType="solid">
          <fgColor indexed="64"/>
          <bgColor theme="3" tint="-0.499984740745262"/>
        </patternFill>
      </fill>
      <alignment horizontal="center" vertical="top"/>
    </dxf>
    <dxf>
      <font>
        <b/>
        <color theme="4" tint="0.79998168889431442"/>
      </font>
      <numFmt numFmtId="165" formatCode="yyyy/mm/dd\ hh:mm:ss"/>
      <fill>
        <patternFill patternType="solid">
          <fgColor indexed="64"/>
          <bgColor theme="3" tint="-0.499984740745262"/>
        </patternFill>
      </fill>
      <alignment horizontal="center" vertical="top"/>
    </dxf>
    <dxf>
      <font>
        <b/>
        <color theme="4" tint="0.79998168889431442"/>
      </font>
      <numFmt numFmtId="165" formatCode="yyyy/mm/dd\ hh:mm:ss"/>
      <fill>
        <patternFill patternType="solid">
          <fgColor indexed="64"/>
          <bgColor theme="3" tint="-0.499984740745262"/>
        </patternFill>
      </fill>
      <alignment horizontal="center" vertical="top"/>
    </dxf>
    <dxf>
      <font>
        <b/>
        <color theme="4" tint="0.79998168889431442"/>
      </font>
      <numFmt numFmtId="165" formatCode="yyyy/mm/dd\ hh:mm:ss"/>
      <fill>
        <patternFill patternType="solid">
          <fgColor indexed="64"/>
          <bgColor theme="3" tint="-0.499984740745262"/>
        </patternFill>
      </fill>
      <alignment horizontal="center" vertical="top"/>
    </dxf>
    <dxf>
      <font>
        <sz val="14"/>
      </font>
    </dxf>
    <dxf>
      <font>
        <sz val="14"/>
      </font>
    </dxf>
    <dxf>
      <font>
        <sz val="14"/>
      </font>
    </dxf>
    <dxf>
      <font>
        <sz val="14"/>
      </font>
    </dxf>
    <dxf>
      <font>
        <sz val="14"/>
      </font>
    </dxf>
    <dxf>
      <font>
        <sz val="14"/>
      </font>
    </dxf>
    <dxf>
      <alignment horizontal="right"/>
    </dxf>
    <dxf>
      <font>
        <sz val="14"/>
      </font>
    </dxf>
    <dxf>
      <alignment horizontal="right"/>
    </dxf>
    <dxf>
      <font>
        <sz val="14"/>
      </font>
    </dxf>
    <dxf>
      <font>
        <sz val="14"/>
      </font>
    </dxf>
    <dxf>
      <font>
        <sz val="14"/>
      </font>
    </dxf>
    <dxf>
      <font>
        <sz val="14"/>
      </font>
    </dxf>
    <dxf>
      <font>
        <sz val="14"/>
      </font>
    </dxf>
    <dxf>
      <font>
        <sz val="14"/>
      </font>
    </dxf>
    <dxf>
      <alignment horizontal="right"/>
    </dxf>
    <dxf>
      <alignment horizontal="center"/>
    </dxf>
    <dxf>
      <alignment horizontal="center"/>
    </dxf>
    <dxf>
      <alignment horizontal="center"/>
    </dxf>
    <dxf>
      <alignment horizontal="center"/>
    </dxf>
    <dxf>
      <alignment horizontal="center"/>
    </dxf>
    <dxf>
      <fill>
        <patternFill patternType="solid">
          <fgColor indexed="64"/>
          <bgColor theme="4" tint="0.79998168889431442"/>
        </patternFill>
      </fill>
      <alignment horizontal="center"/>
    </dxf>
    <dxf>
      <fill>
        <patternFill patternType="solid">
          <fgColor indexed="64"/>
          <bgColor theme="4" tint="0.79998168889431442"/>
        </patternFill>
      </fill>
      <alignment horizontal="center"/>
    </dxf>
    <dxf>
      <alignment horizontal="right"/>
    </dxf>
    <dxf>
      <font>
        <b/>
        <color theme="4" tint="0.79998168889431442"/>
      </font>
      <fill>
        <patternFill patternType="solid">
          <fgColor indexed="64"/>
          <bgColor theme="3" tint="-0.499984740745262"/>
        </patternFill>
      </fill>
      <alignment horizontal="center" vertical="top"/>
    </dxf>
    <dxf>
      <font>
        <b/>
        <color theme="4" tint="0.79998168889431442"/>
      </font>
      <fill>
        <patternFill patternType="solid">
          <fgColor indexed="64"/>
          <bgColor theme="3" tint="-0.499984740745262"/>
        </patternFill>
      </fill>
      <alignment horizontal="center" vertical="top"/>
    </dxf>
    <dxf>
      <font>
        <b/>
        <color theme="4" tint="0.79998168889431442"/>
      </font>
      <fill>
        <patternFill patternType="solid">
          <fgColor indexed="64"/>
          <bgColor theme="3" tint="-0.499984740745262"/>
        </patternFill>
      </fill>
      <alignment horizontal="center" vertical="top"/>
    </dxf>
    <dxf>
      <font>
        <b/>
        <color theme="4" tint="0.79998168889431442"/>
      </font>
      <fill>
        <patternFill patternType="solid">
          <fgColor indexed="64"/>
          <bgColor theme="3" tint="-0.499984740745262"/>
        </patternFill>
      </fill>
      <alignment horizontal="center" vertical="top"/>
    </dxf>
    <dxf>
      <font>
        <sz val="14"/>
      </font>
    </dxf>
    <dxf>
      <font>
        <sz val="14"/>
      </font>
    </dxf>
    <dxf>
      <font>
        <sz val="14"/>
      </font>
    </dxf>
    <dxf>
      <font>
        <sz val="14"/>
      </font>
    </dxf>
    <dxf>
      <font>
        <sz val="14"/>
      </font>
    </dxf>
    <dxf>
      <font>
        <sz val="14"/>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[Sample_Sales_Dataset.xlsx]Q.5!PivotTable8</c:name>
    <c:fmtId val="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600">
                <a:solidFill>
                  <a:schemeClr val="bg1"/>
                </a:solidFill>
              </a:rPr>
              <a:t>Monthly Sales Trend</a:t>
            </a:r>
          </a:p>
        </c:rich>
      </c:tx>
      <c:layout>
        <c:manualLayout>
          <c:xMode val="edge"/>
          <c:yMode val="edge"/>
          <c:x val="0.29820339055978656"/>
          <c:y val="4.5679408466012233E-2"/>
        </c:manualLayout>
      </c:layout>
      <c:overlay val="0"/>
      <c:spPr>
        <a:solidFill>
          <a:schemeClr val="tx1">
            <a:lumMod val="75000"/>
            <a:lumOff val="25000"/>
          </a:schemeClr>
        </a:solid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34473559657502"/>
          <c:y val="0.19703405308872474"/>
          <c:w val="0.82160061959468178"/>
          <c:h val="0.6045860730037611"/>
        </c:manualLayout>
      </c:layout>
      <c:lineChart>
        <c:grouping val="standard"/>
        <c:varyColors val="0"/>
        <c:ser>
          <c:idx val="0"/>
          <c:order val="0"/>
          <c:tx>
            <c:strRef>
              <c:f>Q.5!$Q$3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Q.5!$P$4:$P$9</c:f>
              <c:strCache>
                <c:ptCount val="6"/>
                <c:pt idx="0">
                  <c:v>Jan</c:v>
                </c:pt>
                <c:pt idx="1">
                  <c:v>Feb</c:v>
                </c:pt>
                <c:pt idx="2">
                  <c:v>Mar</c:v>
                </c:pt>
                <c:pt idx="3">
                  <c:v>Apr</c:v>
                </c:pt>
                <c:pt idx="4">
                  <c:v>May</c:v>
                </c:pt>
                <c:pt idx="5">
                  <c:v>Jun</c:v>
                </c:pt>
              </c:strCache>
            </c:strRef>
          </c:cat>
          <c:val>
            <c:numRef>
              <c:f>Q.5!$Q$4:$Q$9</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E422-456A-A538-A96B6E7757D7}"/>
            </c:ext>
          </c:extLst>
        </c:ser>
        <c:dLbls>
          <c:dLblPos val="t"/>
          <c:showLegendKey val="0"/>
          <c:showVal val="1"/>
          <c:showCatName val="0"/>
          <c:showSerName val="0"/>
          <c:showPercent val="0"/>
          <c:showBubbleSize val="0"/>
        </c:dLbls>
        <c:marker val="1"/>
        <c:smooth val="0"/>
        <c:axId val="496064128"/>
        <c:axId val="496062208"/>
      </c:lineChart>
      <c:catAx>
        <c:axId val="496064128"/>
        <c:scaling>
          <c:orientation val="minMax"/>
        </c:scaling>
        <c:delete val="0"/>
        <c:axPos val="b"/>
        <c:title>
          <c:tx>
            <c:rich>
              <a:bodyPr rot="0" spcFirstLastPara="1" vertOverflow="ellipsis" vert="horz" wrap="square" anchor="ctr" anchorCtr="1"/>
              <a:lstStyle/>
              <a:p>
                <a:pPr>
                  <a:defRPr sz="1060" b="1" i="0" u="none" strike="noStrike" kern="1200" cap="all" baseline="0">
                    <a:solidFill>
                      <a:schemeClr val="bg1"/>
                    </a:solidFill>
                    <a:latin typeface="+mn-lt"/>
                    <a:ea typeface="+mn-ea"/>
                    <a:cs typeface="+mn-cs"/>
                  </a:defRPr>
                </a:pPr>
                <a:r>
                  <a:rPr lang="en-IN">
                    <a:solidFill>
                      <a:schemeClr val="bg1"/>
                    </a:solidFill>
                  </a:rPr>
                  <a:t>Months</a:t>
                </a:r>
              </a:p>
            </c:rich>
          </c:tx>
          <c:layout>
            <c:manualLayout>
              <c:xMode val="edge"/>
              <c:yMode val="edge"/>
              <c:x val="0.44221182393184461"/>
              <c:y val="0.91165782140668539"/>
            </c:manualLayout>
          </c:layout>
          <c:overlay val="0"/>
          <c:spPr>
            <a:solidFill>
              <a:schemeClr val="tx1">
                <a:lumMod val="75000"/>
                <a:lumOff val="25000"/>
              </a:schemeClr>
            </a:solidFill>
            <a:ln>
              <a:noFill/>
            </a:ln>
            <a:effectLst/>
          </c:spPr>
          <c:txPr>
            <a:bodyPr rot="0" spcFirstLastPara="1" vertOverflow="ellipsis" vert="horz" wrap="square" anchor="ctr" anchorCtr="1"/>
            <a:lstStyle/>
            <a:p>
              <a:pPr>
                <a:defRPr sz="1060" b="1" i="0" u="none" strike="noStrike" kern="1200" cap="all"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60" b="0" i="0" u="none" strike="noStrike" kern="1200" baseline="0">
                <a:solidFill>
                  <a:schemeClr val="lt1">
                    <a:lumMod val="85000"/>
                  </a:schemeClr>
                </a:solidFill>
                <a:latin typeface="+mn-lt"/>
                <a:ea typeface="+mn-ea"/>
                <a:cs typeface="+mn-cs"/>
              </a:defRPr>
            </a:pPr>
            <a:endParaRPr lang="en-US"/>
          </a:p>
        </c:txPr>
        <c:crossAx val="496062208"/>
        <c:crosses val="autoZero"/>
        <c:auto val="1"/>
        <c:lblAlgn val="ctr"/>
        <c:lblOffset val="100"/>
        <c:noMultiLvlLbl val="0"/>
      </c:catAx>
      <c:valAx>
        <c:axId val="49606220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060" b="1" i="0" u="none" strike="noStrike" kern="1200" cap="all" baseline="0">
                    <a:solidFill>
                      <a:schemeClr val="bg1"/>
                    </a:solidFill>
                    <a:latin typeface="+mn-lt"/>
                    <a:ea typeface="+mn-ea"/>
                    <a:cs typeface="+mn-cs"/>
                  </a:defRPr>
                </a:pPr>
                <a:r>
                  <a:rPr lang="en-US">
                    <a:solidFill>
                      <a:schemeClr val="bg1"/>
                    </a:solidFill>
                  </a:rPr>
                  <a:t>Sales</a:t>
                </a:r>
              </a:p>
            </c:rich>
          </c:tx>
          <c:layout>
            <c:manualLayout>
              <c:xMode val="edge"/>
              <c:yMode val="edge"/>
              <c:x val="1.912568306010929E-2"/>
              <c:y val="0.44012399545417646"/>
            </c:manualLayout>
          </c:layout>
          <c:overlay val="0"/>
          <c:spPr>
            <a:solidFill>
              <a:schemeClr val="tx1">
                <a:lumMod val="75000"/>
                <a:lumOff val="25000"/>
              </a:schemeClr>
            </a:solidFill>
            <a:ln>
              <a:noFill/>
            </a:ln>
            <a:effectLst/>
          </c:spPr>
          <c:txPr>
            <a:bodyPr rot="-5400000" spcFirstLastPara="1" vertOverflow="ellipsis" vert="horz" wrap="square" anchor="ctr" anchorCtr="1"/>
            <a:lstStyle/>
            <a:p>
              <a:pPr>
                <a:defRPr sz="1060" b="1" i="0" u="none" strike="noStrike" kern="1200" cap="all"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60" b="0" i="0" u="none" strike="noStrike" kern="1200" baseline="0">
                <a:solidFill>
                  <a:schemeClr val="lt1">
                    <a:lumMod val="85000"/>
                  </a:schemeClr>
                </a:solidFill>
                <a:latin typeface="+mn-lt"/>
                <a:ea typeface="+mn-ea"/>
                <a:cs typeface="+mn-cs"/>
              </a:defRPr>
            </a:pPr>
            <a:endParaRPr lang="en-US"/>
          </a:p>
        </c:txPr>
        <c:crossAx val="49606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6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[Sample_Sales_Dataset.xlsx]Q.8!PivotTable3</c:name>
    <c:fmtId val="0"/>
  </c:pivotSource>
  <c:chart>
    <c:title>
      <c:tx>
        <c:rich>
          <a:bodyPr rot="0" spcFirstLastPara="1" vertOverflow="ellipsis" vert="horz" wrap="square" anchor="ctr" anchorCtr="1"/>
          <a:lstStyle/>
          <a:p>
            <a:pPr>
              <a:defRPr sz="20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2000">
                <a:solidFill>
                  <a:schemeClr val="bg1"/>
                </a:solidFill>
              </a:rPr>
              <a:t>Sales by Region</a:t>
            </a:r>
          </a:p>
        </c:rich>
      </c:tx>
      <c:layout>
        <c:manualLayout>
          <c:xMode val="edge"/>
          <c:yMode val="edge"/>
          <c:x val="0.28656928397968945"/>
          <c:y val="2.7259332353276808E-2"/>
        </c:manualLayout>
      </c:layout>
      <c:overlay val="0"/>
      <c:spPr>
        <a:solidFill>
          <a:schemeClr val="tx1">
            <a:lumMod val="75000"/>
            <a:lumOff val="25000"/>
          </a:schemeClr>
        </a:solidFill>
        <a:ln>
          <a:noFill/>
        </a:ln>
        <a:effectLst/>
      </c:spPr>
      <c:txPr>
        <a:bodyPr rot="0" spcFirstLastPara="1" vertOverflow="ellipsis" vert="horz" wrap="square" anchor="ctr" anchorCtr="1"/>
        <a:lstStyle/>
        <a:p>
          <a:pPr>
            <a:defRPr sz="20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98789584291655"/>
          <c:y val="0.21011272546705617"/>
          <c:w val="0.81651153141939736"/>
          <c:h val="0.58528926206091558"/>
        </c:manualLayout>
      </c:layout>
      <c:barChart>
        <c:barDir val="col"/>
        <c:grouping val="clustered"/>
        <c:varyColors val="0"/>
        <c:ser>
          <c:idx val="0"/>
          <c:order val="0"/>
          <c:tx>
            <c:strRef>
              <c:f>Q.8!$H$6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Q.8!$G$7:$G$11</c:f>
              <c:strCache>
                <c:ptCount val="4"/>
                <c:pt idx="0">
                  <c:v>East</c:v>
                </c:pt>
                <c:pt idx="1">
                  <c:v>West</c:v>
                </c:pt>
                <c:pt idx="2">
                  <c:v>South</c:v>
                </c:pt>
                <c:pt idx="3">
                  <c:v>North</c:v>
                </c:pt>
              </c:strCache>
            </c:strRef>
          </c:cat>
          <c:val>
            <c:numRef>
              <c:f>Q.8!$H$7:$H$11</c:f>
              <c:numCache>
                <c:formatCode>General</c:formatCode>
                <c:ptCount val="4"/>
                <c:pt idx="0">
                  <c:v>467</c:v>
                </c:pt>
                <c:pt idx="1">
                  <c:v>3497</c:v>
                </c:pt>
                <c:pt idx="2">
                  <c:v>2518</c:v>
                </c:pt>
                <c:pt idx="3">
                  <c:v>347</c:v>
                </c:pt>
              </c:numCache>
            </c:numRef>
          </c:val>
          <c:extLst>
            <c:ext xmlns:c16="http://schemas.microsoft.com/office/drawing/2014/chart" uri="{C3380CC4-5D6E-409C-BE32-E72D297353CC}">
              <c16:uniqueId val="{00000000-90A2-4734-8D1F-62A18C8E5A5D}"/>
            </c:ext>
          </c:extLst>
        </c:ser>
        <c:dLbls>
          <c:dLblPos val="outEnd"/>
          <c:showLegendKey val="0"/>
          <c:showVal val="1"/>
          <c:showCatName val="0"/>
          <c:showSerName val="0"/>
          <c:showPercent val="0"/>
          <c:showBubbleSize val="0"/>
        </c:dLbls>
        <c:gapWidth val="100"/>
        <c:overlap val="-24"/>
        <c:axId val="1021304032"/>
        <c:axId val="1021304512"/>
      </c:barChart>
      <c:catAx>
        <c:axId val="1021304032"/>
        <c:scaling>
          <c:orientation val="minMax"/>
        </c:scaling>
        <c:delete val="0"/>
        <c:axPos val="b"/>
        <c:title>
          <c:tx>
            <c:rich>
              <a:bodyPr rot="0" spcFirstLastPara="1" vertOverflow="ellipsis" vert="horz" wrap="square" anchor="ctr" anchorCtr="1"/>
              <a:lstStyle/>
              <a:p>
                <a:pPr>
                  <a:defRPr sz="1400" b="0" i="0" u="none" strike="noStrike" kern="1200" cap="none" baseline="0">
                    <a:solidFill>
                      <a:schemeClr val="bg1"/>
                    </a:solidFill>
                    <a:latin typeface="+mn-lt"/>
                    <a:ea typeface="+mn-ea"/>
                    <a:cs typeface="+mn-cs"/>
                  </a:defRPr>
                </a:pPr>
                <a:r>
                  <a:rPr lang="en-IN" sz="1400" b="0" cap="none" baseline="0">
                    <a:solidFill>
                      <a:schemeClr val="bg1"/>
                    </a:solidFill>
                  </a:rPr>
                  <a:t>Regions</a:t>
                </a:r>
              </a:p>
            </c:rich>
          </c:tx>
          <c:layout>
            <c:manualLayout>
              <c:xMode val="edge"/>
              <c:yMode val="edge"/>
              <c:x val="0.42135266628256834"/>
              <c:y val="0.90191793954486188"/>
            </c:manualLayout>
          </c:layout>
          <c:overlay val="0"/>
          <c:spPr>
            <a:solidFill>
              <a:schemeClr val="tx1">
                <a:lumMod val="75000"/>
                <a:lumOff val="25000"/>
              </a:schemeClr>
            </a:solidFill>
            <a:ln>
              <a:noFill/>
            </a:ln>
            <a:effectLst/>
          </c:spPr>
          <c:txPr>
            <a:bodyPr rot="0" spcFirstLastPara="1" vertOverflow="ellipsis" vert="horz" wrap="square" anchor="ctr" anchorCtr="1"/>
            <a:lstStyle/>
            <a:p>
              <a:pPr>
                <a:defRPr sz="1400" b="0" i="0" u="none" strike="noStrike" kern="1200" cap="none"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021304512"/>
        <c:crosses val="autoZero"/>
        <c:auto val="1"/>
        <c:lblAlgn val="ctr"/>
        <c:lblOffset val="100"/>
        <c:noMultiLvlLbl val="0"/>
      </c:catAx>
      <c:valAx>
        <c:axId val="10213045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200" b="0" i="0" u="none" strike="noStrike" kern="1200" cap="none" baseline="0">
                    <a:solidFill>
                      <a:schemeClr val="bg1"/>
                    </a:solidFill>
                    <a:latin typeface="+mn-lt"/>
                    <a:ea typeface="+mn-ea"/>
                    <a:cs typeface="+mn-cs"/>
                  </a:defRPr>
                </a:pPr>
                <a:r>
                  <a:rPr lang="en-US" sz="1200" b="0" cap="none" baseline="0">
                    <a:solidFill>
                      <a:schemeClr val="bg1"/>
                    </a:solidFill>
                  </a:rPr>
                  <a:t>Sales</a:t>
                </a:r>
              </a:p>
            </c:rich>
          </c:tx>
          <c:layout>
            <c:manualLayout>
              <c:xMode val="edge"/>
              <c:yMode val="edge"/>
              <c:x val="1.43185455476602E-2"/>
              <c:y val="0.45828291508104918"/>
            </c:manualLayout>
          </c:layout>
          <c:overlay val="0"/>
          <c:spPr>
            <a:solidFill>
              <a:schemeClr val="tx1">
                <a:lumMod val="75000"/>
                <a:lumOff val="25000"/>
              </a:schemeClr>
            </a:solidFill>
            <a:ln>
              <a:noFill/>
            </a:ln>
            <a:effectLst/>
          </c:spPr>
          <c:txPr>
            <a:bodyPr rot="-5400000" spcFirstLastPara="1" vertOverflow="ellipsis" vert="horz" wrap="square" anchor="ctr" anchorCtr="1"/>
            <a:lstStyle/>
            <a:p>
              <a:pPr>
                <a:defRPr sz="1200" b="0" i="0" u="none" strike="noStrike" kern="1200" cap="none"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130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800">
                <a:solidFill>
                  <a:schemeClr val="bg1"/>
                </a:solidFill>
              </a:rPr>
              <a:t>Monthly Sales Trend</a:t>
            </a:r>
          </a:p>
        </c:rich>
      </c:tx>
      <c:layout>
        <c:manualLayout>
          <c:xMode val="edge"/>
          <c:yMode val="edge"/>
          <c:x val="0.29836364480988548"/>
          <c:y val="3.6016331291921846E-2"/>
        </c:manualLayout>
      </c:layout>
      <c:overlay val="0"/>
      <c:spPr>
        <a:solidFill>
          <a:schemeClr val="tx1">
            <a:lumMod val="75000"/>
            <a:lumOff val="25000"/>
          </a:schemeClr>
        </a:solidFill>
        <a:ln>
          <a:noFill/>
        </a:ln>
        <a:effectLst/>
      </c:spPr>
      <c:txPr>
        <a:bodyPr rot="0" spcFirstLastPara="1" vertOverflow="ellipsis" vert="horz" wrap="square" anchor="ctr" anchorCtr="1"/>
        <a:lstStyle/>
        <a:p>
          <a:pPr>
            <a:defRPr sz="18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2825896762904"/>
          <c:y val="0.21439596092155147"/>
          <c:w val="0.82201618547681543"/>
          <c:h val="0.56355387868183149"/>
        </c:manualLayout>
      </c:layout>
      <c:lineChart>
        <c:grouping val="standard"/>
        <c:varyColors val="0"/>
        <c:ser>
          <c:idx val="0"/>
          <c:order val="0"/>
          <c:tx>
            <c:v>Total</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1281</c:v>
              </c:pt>
              <c:pt idx="1">
                <c:v>1032</c:v>
              </c:pt>
              <c:pt idx="2">
                <c:v>958</c:v>
              </c:pt>
              <c:pt idx="3">
                <c:v>1155</c:v>
              </c:pt>
              <c:pt idx="4">
                <c:v>1286</c:v>
              </c:pt>
              <c:pt idx="5">
                <c:v>1117</c:v>
              </c:pt>
            </c:numLit>
          </c:val>
          <c:smooth val="0"/>
          <c:extLst>
            <c:ext xmlns:c16="http://schemas.microsoft.com/office/drawing/2014/chart" uri="{C3380CC4-5D6E-409C-BE32-E72D297353CC}">
              <c16:uniqueId val="{00000000-CA6B-4E49-8E50-E7B80EB89E01}"/>
            </c:ext>
          </c:extLst>
        </c:ser>
        <c:dLbls>
          <c:dLblPos val="t"/>
          <c:showLegendKey val="0"/>
          <c:showVal val="1"/>
          <c:showCatName val="0"/>
          <c:showSerName val="0"/>
          <c:showPercent val="0"/>
          <c:showBubbleSize val="0"/>
        </c:dLbls>
        <c:marker val="1"/>
        <c:smooth val="0"/>
        <c:axId val="1303566256"/>
        <c:axId val="1303573936"/>
      </c:lineChart>
      <c:catAx>
        <c:axId val="1303566256"/>
        <c:scaling>
          <c:orientation val="minMax"/>
        </c:scaling>
        <c:delete val="0"/>
        <c:axPos val="b"/>
        <c:title>
          <c:tx>
            <c:rich>
              <a:bodyPr rot="0" spcFirstLastPara="1" vertOverflow="ellipsis" vert="horz" wrap="square" anchor="ctr" anchorCtr="1"/>
              <a:lstStyle/>
              <a:p>
                <a:pPr>
                  <a:defRPr sz="1400" b="0" i="0" u="none" strike="noStrike" kern="1200" cap="none" baseline="0">
                    <a:solidFill>
                      <a:schemeClr val="bg1"/>
                    </a:solidFill>
                    <a:latin typeface="+mn-lt"/>
                    <a:ea typeface="+mn-ea"/>
                    <a:cs typeface="+mn-cs"/>
                  </a:defRPr>
                </a:pPr>
                <a:r>
                  <a:rPr lang="en-US" sz="1400" b="0" cap="none" baseline="0">
                    <a:solidFill>
                      <a:schemeClr val="bg1"/>
                    </a:solidFill>
                  </a:rPr>
                  <a:t>Months</a:t>
                </a:r>
              </a:p>
            </c:rich>
          </c:tx>
          <c:layout>
            <c:manualLayout>
              <c:xMode val="edge"/>
              <c:yMode val="edge"/>
              <c:x val="0.43500890855796309"/>
              <c:y val="0.90294997924813969"/>
            </c:manualLayout>
          </c:layout>
          <c:overlay val="0"/>
          <c:spPr>
            <a:solidFill>
              <a:schemeClr val="tx1">
                <a:lumMod val="75000"/>
                <a:lumOff val="25000"/>
              </a:schemeClr>
            </a:solidFill>
            <a:ln>
              <a:noFill/>
            </a:ln>
            <a:effectLst/>
          </c:spPr>
          <c:txPr>
            <a:bodyPr rot="0" spcFirstLastPara="1" vertOverflow="ellipsis" vert="horz" wrap="square" anchor="ctr" anchorCtr="1"/>
            <a:lstStyle/>
            <a:p>
              <a:pPr>
                <a:defRPr sz="1400" b="0" i="0" u="none" strike="noStrike" kern="1200" cap="none"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303573936"/>
        <c:crosses val="autoZero"/>
        <c:auto val="1"/>
        <c:lblAlgn val="ctr"/>
        <c:lblOffset val="100"/>
        <c:noMultiLvlLbl val="0"/>
      </c:catAx>
      <c:valAx>
        <c:axId val="130357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400" b="0" i="0" u="none" strike="noStrike" kern="1200" cap="none" baseline="0">
                    <a:solidFill>
                      <a:schemeClr val="bg1"/>
                    </a:solidFill>
                    <a:latin typeface="+mn-lt"/>
                    <a:ea typeface="+mn-ea"/>
                    <a:cs typeface="+mn-cs"/>
                  </a:defRPr>
                </a:pPr>
                <a:r>
                  <a:rPr lang="en-US" sz="1400" b="0" cap="none" baseline="0">
                    <a:solidFill>
                      <a:schemeClr val="bg1"/>
                    </a:solidFill>
                  </a:rPr>
                  <a:t>Sales</a:t>
                </a:r>
              </a:p>
            </c:rich>
          </c:tx>
          <c:layout>
            <c:manualLayout>
              <c:xMode val="edge"/>
              <c:yMode val="edge"/>
              <c:x val="1.875510086786597E-2"/>
              <c:y val="0.44759979891155022"/>
            </c:manualLayout>
          </c:layout>
          <c:overlay val="0"/>
          <c:spPr>
            <a:solidFill>
              <a:schemeClr val="tx1">
                <a:lumMod val="75000"/>
                <a:lumOff val="25000"/>
              </a:schemeClr>
            </a:solidFill>
            <a:ln>
              <a:noFill/>
            </a:ln>
            <a:effectLst/>
          </c:spPr>
          <c:txPr>
            <a:bodyPr rot="-5400000" spcFirstLastPara="1" vertOverflow="ellipsis" vert="horz" wrap="square" anchor="ctr" anchorCtr="1"/>
            <a:lstStyle/>
            <a:p>
              <a:pPr>
                <a:defRPr sz="1400" b="0" i="0" u="none" strike="noStrike" kern="1200" cap="none"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3566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0</xdr:colOff>
      <xdr:row>3</xdr:row>
      <xdr:rowOff>0</xdr:rowOff>
    </xdr:from>
    <xdr:to>
      <xdr:col>14</xdr:col>
      <xdr:colOff>0</xdr:colOff>
      <xdr:row>18</xdr:row>
      <xdr:rowOff>30480</xdr:rowOff>
    </xdr:to>
    <xdr:graphicFrame macro="">
      <xdr:nvGraphicFramePr>
        <xdr:cNvPr id="2" name="Chart 1">
          <a:extLst>
            <a:ext uri="{FF2B5EF4-FFF2-40B4-BE49-F238E27FC236}">
              <a16:creationId xmlns:a16="http://schemas.microsoft.com/office/drawing/2014/main" id="{34EADA64-B0F1-09C1-82C1-619EDD823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601980</xdr:colOff>
      <xdr:row>3</xdr:row>
      <xdr:rowOff>1</xdr:rowOff>
    </xdr:from>
    <xdr:to>
      <xdr:col>13</xdr:col>
      <xdr:colOff>15240</xdr:colOff>
      <xdr:row>8</xdr:row>
      <xdr:rowOff>38100</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B2C36030-5449-5F37-5476-2668B6E1E5D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204960" y="685801"/>
              <a:ext cx="185166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236220</xdr:colOff>
      <xdr:row>5</xdr:row>
      <xdr:rowOff>7620</xdr:rowOff>
    </xdr:from>
    <xdr:to>
      <xdr:col>16</xdr:col>
      <xdr:colOff>15240</xdr:colOff>
      <xdr:row>20</xdr:row>
      <xdr:rowOff>0</xdr:rowOff>
    </xdr:to>
    <xdr:graphicFrame macro="">
      <xdr:nvGraphicFramePr>
        <xdr:cNvPr id="3" name="Chart 2">
          <a:extLst>
            <a:ext uri="{FF2B5EF4-FFF2-40B4-BE49-F238E27FC236}">
              <a16:creationId xmlns:a16="http://schemas.microsoft.com/office/drawing/2014/main" id="{C6BA8C16-A220-F9A6-7A7C-30FC43934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7620</xdr:colOff>
      <xdr:row>5</xdr:row>
      <xdr:rowOff>1</xdr:rowOff>
    </xdr:from>
    <xdr:to>
      <xdr:col>23</xdr:col>
      <xdr:colOff>7620</xdr:colOff>
      <xdr:row>10</xdr:row>
      <xdr:rowOff>22860</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60D9B527-3DFE-8EFC-4E19-62A153825A4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4904720" y="1143001"/>
              <a:ext cx="1828800" cy="116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7620</xdr:colOff>
      <xdr:row>5</xdr:row>
      <xdr:rowOff>0</xdr:rowOff>
    </xdr:from>
    <xdr:to>
      <xdr:col>31</xdr:col>
      <xdr:colOff>7620</xdr:colOff>
      <xdr:row>19</xdr:row>
      <xdr:rowOff>220980</xdr:rowOff>
    </xdr:to>
    <xdr:graphicFrame macro="">
      <xdr:nvGraphicFramePr>
        <xdr:cNvPr id="5" name="Chart 4">
          <a:extLst>
            <a:ext uri="{FF2B5EF4-FFF2-40B4-BE49-F238E27FC236}">
              <a16:creationId xmlns:a16="http://schemas.microsoft.com/office/drawing/2014/main" id="{16858160-EA69-2A7A-E689-217B52A84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tab ansari" refreshedDate="46030.816770254627" createdVersion="8" refreshedVersion="8" minRefreshableVersion="3" recordCount="20" xr:uid="{54EE830E-07D2-4609-A5BA-CDF8AEFE67C2}">
  <cacheSource type="worksheet">
    <worksheetSource ref="A1:E21" sheet="Q.2"/>
  </cacheSource>
  <cacheFields count="5">
    <cacheField name="Date" numFmtId="164">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tab ansari" refreshedDate="46030.843975115742" createdVersion="8" refreshedVersion="8" minRefreshableVersion="3" recordCount="20" xr:uid="{A0F50519-3263-4184-80C4-BD3261795218}">
  <cacheSource type="worksheet">
    <worksheetSource ref="A1:E21" sheet="Q.5"/>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tab ansari" refreshedDate="46031.707578472226" createdVersion="8" refreshedVersion="8" minRefreshableVersion="3" recordCount="20" xr:uid="{321BD6BA-53CD-4386-9C78-E9B0E3AD42F1}">
  <cacheSource type="worksheet">
    <worksheetSource ref="A1:E21" sheet="Q.6"/>
  </cacheSource>
  <cacheFields count="5">
    <cacheField name="Date" numFmtId="164">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14110207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tab ansari" refreshedDate="46031.724869791666" createdVersion="8" refreshedVersion="8" minRefreshableVersion="3" recordCount="20" xr:uid="{37920C47-1607-4504-A3D8-19BBE8DDB72C}">
  <cacheSource type="worksheet">
    <worksheetSource ref="A1:E21" sheet="Q.8"/>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46007362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tab ansari" refreshedDate="46031.751544791667" createdVersion="8" refreshedVersion="8" minRefreshableVersion="3" recordCount="20" xr:uid="{F53A81DA-8FAF-4D69-95B7-DCE15B63BAEC}">
  <cacheSource type="worksheet">
    <worksheetSource ref="A1:E21" sheet="Q.9"/>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tab ansari" refreshedDate="46031.777566435187" createdVersion="8" refreshedVersion="8" minRefreshableVersion="3" recordCount="20" xr:uid="{1B2846D8-4CD3-467B-AD67-90B3BCD158C2}">
  <cacheSource type="worksheet">
    <worksheetSource ref="A1:E21" sheet="Q.10"/>
  </cacheSource>
  <cacheFields count="6">
    <cacheField name="Date" numFmtId="164">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24C9B7-8FD4-4F51-A514-2D171B3F6BE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s">
  <location ref="H4:I9" firstHeaderRow="1" firstDataRow="1" firstDataCol="1"/>
  <pivotFields count="5">
    <pivotField numFmtId="164"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Total Sales" fld="3" baseField="0" baseItem="0"/>
  </dataFields>
  <formats count="19">
    <format dxfId="241">
      <pivotArea type="all" dataOnly="0" outline="0" fieldPosition="0"/>
    </format>
    <format dxfId="240">
      <pivotArea outline="0" collapsedLevelsAreSubtotals="1" fieldPosition="0"/>
    </format>
    <format dxfId="239">
      <pivotArea field="1" type="button" dataOnly="0" labelOnly="1" outline="0" axis="axisRow" fieldPosition="0"/>
    </format>
    <format dxfId="238">
      <pivotArea dataOnly="0" labelOnly="1" fieldPosition="0">
        <references count="1">
          <reference field="1" count="0"/>
        </references>
      </pivotArea>
    </format>
    <format dxfId="237">
      <pivotArea dataOnly="0" labelOnly="1" grandRow="1" outline="0" fieldPosition="0"/>
    </format>
    <format dxfId="236">
      <pivotArea dataOnly="0" labelOnly="1" outline="0" axis="axisValues" fieldPosition="0"/>
    </format>
    <format dxfId="235">
      <pivotArea field="1" type="button" dataOnly="0" labelOnly="1" outline="0" axis="axisRow" fieldPosition="0"/>
    </format>
    <format dxfId="234">
      <pivotArea dataOnly="0" labelOnly="1" outline="0" axis="axisValues" fieldPosition="0"/>
    </format>
    <format dxfId="233">
      <pivotArea grandRow="1" outline="0" collapsedLevelsAreSubtotals="1" fieldPosition="0"/>
    </format>
    <format dxfId="232">
      <pivotArea dataOnly="0" labelOnly="1" grandRow="1" outline="0" fieldPosition="0"/>
    </format>
    <format dxfId="231">
      <pivotArea grandRow="1" outline="0" collapsedLevelsAreSubtotals="1" fieldPosition="0"/>
    </format>
    <format dxfId="230">
      <pivotArea collapsedLevelsAreSubtotals="1" fieldPosition="0">
        <references count="1">
          <reference field="1" count="0"/>
        </references>
      </pivotArea>
    </format>
    <format dxfId="229">
      <pivotArea dataOnly="0" labelOnly="1" fieldPosition="0">
        <references count="1">
          <reference field="1" count="0"/>
        </references>
      </pivotArea>
    </format>
    <format dxfId="228">
      <pivotArea type="all" dataOnly="0" outline="0" fieldPosition="0"/>
    </format>
    <format dxfId="227">
      <pivotArea field="1" type="button" dataOnly="0" labelOnly="1" outline="0" axis="axisRow" fieldPosition="0"/>
    </format>
    <format dxfId="226">
      <pivotArea dataOnly="0" labelOnly="1" fieldPosition="0">
        <references count="1">
          <reference field="1" count="0"/>
        </references>
      </pivotArea>
    </format>
    <format dxfId="225">
      <pivotArea dataOnly="0" labelOnly="1" grandRow="1" outline="0" fieldPosition="0"/>
    </format>
    <format dxfId="224">
      <pivotArea dataOnly="0" labelOnly="1" outline="0" axis="axisValues" fieldPosition="0"/>
    </format>
    <format dxfId="2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4518C0-6481-401C-995B-3F43E88BEF9D}"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Months">
  <location ref="P3:Q9" firstHeaderRow="1" firstDataRow="1" firstDataCol="1"/>
  <pivotFields count="7">
    <pivotField numFmtId="16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1"/>
    </i>
    <i>
      <x v="2"/>
    </i>
    <i>
      <x v="3"/>
    </i>
    <i>
      <x v="4"/>
    </i>
    <i>
      <x v="5"/>
    </i>
    <i>
      <x v="6"/>
    </i>
  </rowItems>
  <colItems count="1">
    <i/>
  </colItems>
  <dataFields count="1">
    <dataField name="Total Sales" fld="3" baseField="0" baseItem="0"/>
  </dataFields>
  <formats count="7">
    <format dxfId="222">
      <pivotArea type="all" dataOnly="0" outline="0" fieldPosition="0"/>
    </format>
    <format dxfId="221">
      <pivotArea outline="0" collapsedLevelsAreSubtotals="1" fieldPosition="0"/>
    </format>
    <format dxfId="220">
      <pivotArea field="6" type="button" dataOnly="0" labelOnly="1" outline="0" axis="axisRow" fieldPosition="0"/>
    </format>
    <format dxfId="219">
      <pivotArea dataOnly="0" labelOnly="1" fieldPosition="0">
        <references count="1">
          <reference field="6" count="6">
            <x v="1"/>
            <x v="2"/>
            <x v="3"/>
            <x v="4"/>
            <x v="5"/>
            <x v="6"/>
          </reference>
        </references>
      </pivotArea>
    </format>
    <format dxfId="218">
      <pivotArea dataOnly="0" labelOnly="1" grandRow="1" outline="0" fieldPosition="0"/>
    </format>
    <format dxfId="217">
      <pivotArea dataOnly="0" labelOnly="1" outline="0" axis="axisValues" fieldPosition="0"/>
    </format>
    <format dxfId="21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7DF0DB-47EF-423E-BA14-24B01F566EE7}"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H4:I8" firstHeaderRow="1" firstDataRow="1" firstDataCol="1"/>
  <pivotFields count="5">
    <pivotField numFmtId="164" showAll="0"/>
    <pivotField showAll="0"/>
    <pivotField axis="axisRow" showAll="0">
      <items count="4">
        <item x="2"/>
        <item x="0"/>
        <item x="1"/>
        <item t="default"/>
      </items>
    </pivotField>
    <pivotField dataField="1" showAll="0"/>
    <pivotField showAll="0"/>
  </pivotFields>
  <rowFields count="1">
    <field x="2"/>
  </rowFields>
  <rowItems count="4">
    <i>
      <x/>
    </i>
    <i>
      <x v="1"/>
    </i>
    <i>
      <x v="2"/>
    </i>
    <i t="grand">
      <x/>
    </i>
  </rowItems>
  <colItems count="1">
    <i/>
  </colItems>
  <dataFields count="1">
    <dataField name="Total Sales" fld="3" baseField="0" baseItem="0"/>
  </dataFields>
  <formats count="27">
    <format dxfId="215">
      <pivotArea type="all" dataOnly="0" outline="0" fieldPosition="0"/>
    </format>
    <format dxfId="214">
      <pivotArea dataOnly="0" outline="0" axis="axisValues" fieldPosition="0"/>
    </format>
    <format dxfId="213">
      <pivotArea type="all" dataOnly="0" outline="0" fieldPosition="0"/>
    </format>
    <format dxfId="212">
      <pivotArea outline="0" collapsedLevelsAreSubtotals="1" fieldPosition="0"/>
    </format>
    <format dxfId="211">
      <pivotArea field="2" type="button" dataOnly="0" labelOnly="1" outline="0" axis="axisRow" fieldPosition="0"/>
    </format>
    <format dxfId="210">
      <pivotArea dataOnly="0" labelOnly="1" fieldPosition="0">
        <references count="1">
          <reference field="2" count="0"/>
        </references>
      </pivotArea>
    </format>
    <format dxfId="209">
      <pivotArea dataOnly="0" labelOnly="1" grandRow="1" outline="0" fieldPosition="0"/>
    </format>
    <format dxfId="208">
      <pivotArea dataOnly="0" labelOnly="1" outline="0" axis="axisValues" fieldPosition="0"/>
    </format>
    <format dxfId="207">
      <pivotArea field="2" type="button" dataOnly="0" labelOnly="1" outline="0" axis="axisRow" fieldPosition="0"/>
    </format>
    <format dxfId="206">
      <pivotArea dataOnly="0" labelOnly="1" outline="0" axis="axisValues" fieldPosition="0"/>
    </format>
    <format dxfId="205">
      <pivotArea grandRow="1" outline="0" collapsedLevelsAreSubtotals="1" fieldPosition="0"/>
    </format>
    <format dxfId="204">
      <pivotArea dataOnly="0" labelOnly="1" grandRow="1" outline="0" fieldPosition="0"/>
    </format>
    <format dxfId="203">
      <pivotArea grandRow="1" outline="0" collapsedLevelsAreSubtotals="1" fieldPosition="0"/>
    </format>
    <format dxfId="202">
      <pivotArea collapsedLevelsAreSubtotals="1" fieldPosition="0">
        <references count="1">
          <reference field="2" count="0"/>
        </references>
      </pivotArea>
    </format>
    <format dxfId="201">
      <pivotArea dataOnly="0" labelOnly="1" fieldPosition="0">
        <references count="1">
          <reference field="2" count="0"/>
        </references>
      </pivotArea>
    </format>
    <format dxfId="200">
      <pivotArea dataOnly="0" labelOnly="1" fieldPosition="0">
        <references count="1">
          <reference field="2" count="0"/>
        </references>
      </pivotArea>
    </format>
    <format dxfId="199">
      <pivotArea grandRow="1" outline="0" collapsedLevelsAreSubtotals="1" fieldPosition="0"/>
    </format>
    <format dxfId="198">
      <pivotArea type="all" dataOnly="0" outline="0" fieldPosition="0"/>
    </format>
    <format dxfId="197">
      <pivotArea outline="0" collapsedLevelsAreSubtotals="1" fieldPosition="0"/>
    </format>
    <format dxfId="196">
      <pivotArea field="2" type="button" dataOnly="0" labelOnly="1" outline="0" axis="axisRow" fieldPosition="0"/>
    </format>
    <format dxfId="195">
      <pivotArea dataOnly="0" labelOnly="1" fieldPosition="0">
        <references count="1">
          <reference field="2" count="0"/>
        </references>
      </pivotArea>
    </format>
    <format dxfId="194">
      <pivotArea dataOnly="0" labelOnly="1" grandRow="1" outline="0" fieldPosition="0"/>
    </format>
    <format dxfId="193">
      <pivotArea dataOnly="0" labelOnly="1" outline="0" axis="axisValues" fieldPosition="0"/>
    </format>
    <format dxfId="149">
      <pivotArea field="2" type="button" dataOnly="0" labelOnly="1" outline="0" axis="axisRow" fieldPosition="0"/>
    </format>
    <format dxfId="148">
      <pivotArea dataOnly="0" labelOnly="1" outline="0" axis="axisValues" fieldPosition="0"/>
    </format>
    <format dxfId="146">
      <pivotArea grandRow="1" outline="0" collapsedLevelsAreSubtotals="1" fieldPosition="0"/>
    </format>
    <format dxfId="14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0592B4-FBB5-440A-A243-C084AD47831E}"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R6:S10" firstHeaderRow="1" firstDataRow="1" firstDataCol="1"/>
  <pivotFields count="7">
    <pivotField numFmtId="16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Total Sales" fld="3" baseField="0" baseItem="0"/>
  </dataFields>
  <formats count="7">
    <format dxfId="186">
      <pivotArea type="all" dataOnly="0" outline="0" fieldPosition="0"/>
    </format>
    <format dxfId="185">
      <pivotArea outline="0" collapsedLevelsAreSubtotals="1" fieldPosition="0"/>
    </format>
    <format dxfId="184">
      <pivotArea field="2" type="button" dataOnly="0" labelOnly="1" outline="0" axis="axisRow" fieldPosition="0"/>
    </format>
    <format dxfId="183">
      <pivotArea dataOnly="0" labelOnly="1" fieldPosition="0">
        <references count="1">
          <reference field="2" count="0"/>
        </references>
      </pivotArea>
    </format>
    <format dxfId="182">
      <pivotArea dataOnly="0" labelOnly="1" grandRow="1" outline="0" fieldPosition="0"/>
    </format>
    <format dxfId="181">
      <pivotArea dataOnly="0" labelOnly="1" outline="0" axis="axisValues" fieldPosition="0"/>
    </format>
    <format dxfId="1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73904E-EFD0-4568-AA9C-4302DD95BDAF}"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s">
  <location ref="G6:H11" firstHeaderRow="1" firstDataRow="1" firstDataCol="1"/>
  <pivotFields count="7">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0"/>
        <item x="1"/>
        <item x="3"/>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Total Sales" fld="3" baseField="0" baseItem="0"/>
  </dataFields>
  <formats count="7">
    <format dxfId="192">
      <pivotArea type="all" dataOnly="0" outline="0" fieldPosition="0"/>
    </format>
    <format dxfId="191">
      <pivotArea outline="0" collapsedLevelsAreSubtotals="1" fieldPosition="0"/>
    </format>
    <format dxfId="190">
      <pivotArea field="1" type="button" dataOnly="0" labelOnly="1" outline="0" axis="axisRow" fieldPosition="0"/>
    </format>
    <format dxfId="189">
      <pivotArea dataOnly="0" labelOnly="1" fieldPosition="0">
        <references count="1">
          <reference field="1" count="0"/>
        </references>
      </pivotArea>
    </format>
    <format dxfId="188">
      <pivotArea dataOnly="0" labelOnly="1" grandRow="1" outline="0" fieldPosition="0"/>
    </format>
    <format dxfId="187">
      <pivotArea dataOnly="0" labelOnly="1" outline="0" axis="axisValues" fieldPosition="0"/>
    </format>
    <format dxfId="17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F37E98-2452-4503-BD12-DCD9118FC020}" name="PivotTable6" cacheId="22" applyNumberFormats="0" applyBorderFormats="0" applyFontFormats="0" applyPatternFormats="0" applyAlignmentFormats="0" applyWidthHeightFormats="1" dataCaption="Values" grandTotalCaption="Grand Total" updatedVersion="8" minRefreshableVersion="3" useAutoFormatting="1" rowGrandTotals="0" colGrandTotals="0" itemPrintTitles="1" createdVersion="8" indent="0" outline="1" outlineData="1" multipleFieldFilters="0" rowHeaderCaption="Months">
  <location ref="J4:K10" firstHeaderRow="1" firstDataRow="1" firstDataCol="1"/>
  <pivotFields count="7">
    <pivotField axis="axisRow" numFmtId="164" subtotalTop="0" showAll="0">
      <items count="21">
        <item x="0"/>
        <item x="1"/>
        <item x="2"/>
        <item x="3"/>
        <item x="4"/>
        <item x="5"/>
        <item x="6"/>
        <item x="7"/>
        <item x="8"/>
        <item x="9"/>
        <item x="10"/>
        <item x="11"/>
        <item x="12"/>
        <item x="13"/>
        <item x="14"/>
        <item x="15"/>
        <item x="16"/>
        <item x="17"/>
        <item x="18"/>
        <item x="19"/>
        <item t="default"/>
      </items>
    </pivotField>
    <pivotField subtotalTop="0" showAll="0"/>
    <pivotField subtotalTop="0" showAll="0"/>
    <pivotField dataField="1" subtotalTop="0" showAll="0"/>
    <pivotField subtotalTop="0" showAll="0"/>
    <pivotField axis="axisRow"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ubtotalTop="0"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6">
    <i>
      <x v="1"/>
    </i>
    <i>
      <x v="2"/>
    </i>
    <i>
      <x v="3"/>
    </i>
    <i>
      <x v="4"/>
    </i>
    <i>
      <x v="5"/>
    </i>
    <i>
      <x v="6"/>
    </i>
  </rowItems>
  <colItems count="1">
    <i/>
  </colItems>
  <dataFields count="1">
    <dataField name="Total Sales" fld="3" baseField="6" baseItem="1"/>
  </dataFields>
  <formats count="18">
    <format dxfId="171">
      <pivotArea type="all" dataOnly="0" outline="0" fieldPosition="0"/>
    </format>
    <format dxfId="170">
      <pivotArea dataOnly="0" labelOnly="1" grandRow="1" outline="0" fieldPosition="0"/>
    </format>
    <format dxfId="169">
      <pivotArea dataOnly="0" labelOnly="1" outline="0" axis="axisValues" fieldPosition="0"/>
    </format>
    <format dxfId="168">
      <pivotArea collapsedLevelsAreSubtotals="1" fieldPosition="0">
        <references count="1">
          <reference field="6" count="1">
            <x v="2"/>
          </reference>
        </references>
      </pivotArea>
    </format>
    <format dxfId="167">
      <pivotArea collapsedLevelsAreSubtotals="1" fieldPosition="0">
        <references count="1">
          <reference field="6" count="1">
            <x v="3"/>
          </reference>
        </references>
      </pivotArea>
    </format>
    <format dxfId="166">
      <pivotArea collapsedLevelsAreSubtotals="1" fieldPosition="0">
        <references count="1">
          <reference field="6" count="1">
            <x v="4"/>
          </reference>
        </references>
      </pivotArea>
    </format>
    <format dxfId="165">
      <pivotArea collapsedLevelsAreSubtotals="1" fieldPosition="0">
        <references count="1">
          <reference field="6" count="1">
            <x v="5"/>
          </reference>
        </references>
      </pivotArea>
    </format>
    <format dxfId="164">
      <pivotArea type="all" dataOnly="0" outline="0" fieldPosition="0"/>
    </format>
    <format dxfId="163">
      <pivotArea outline="0" collapsedLevelsAreSubtotals="1" fieldPosition="0"/>
    </format>
    <format dxfId="162">
      <pivotArea field="6" type="button" dataOnly="0" labelOnly="1" outline="0" axis="axisRow" fieldPosition="0"/>
    </format>
    <format dxfId="161">
      <pivotArea dataOnly="0" labelOnly="1" fieldPosition="0">
        <references count="1">
          <reference field="6" count="6">
            <x v="1"/>
            <x v="2"/>
            <x v="3"/>
            <x v="4"/>
            <x v="5"/>
            <x v="6"/>
          </reference>
        </references>
      </pivotArea>
    </format>
    <format dxfId="160">
      <pivotArea dataOnly="0" labelOnly="1" outline="0" axis="axisValues" fieldPosition="0"/>
    </format>
    <format dxfId="159">
      <pivotArea field="6" type="button" dataOnly="0" labelOnly="1" outline="0" axis="axisRow" fieldPosition="0"/>
    </format>
    <format dxfId="158">
      <pivotArea dataOnly="0" labelOnly="1" outline="0" axis="axisValues" fieldPosition="0"/>
    </format>
    <format dxfId="157">
      <pivotArea outline="0" collapsedLevelsAreSubtotals="1" fieldPosition="0"/>
    </format>
    <format dxfId="156">
      <pivotArea dataOnly="0" labelOnly="1" fieldPosition="0">
        <references count="1">
          <reference field="6" count="6">
            <x v="1"/>
            <x v="2"/>
            <x v="3"/>
            <x v="4"/>
            <x v="5"/>
            <x v="6"/>
          </reference>
        </references>
      </pivotArea>
    </format>
    <format dxfId="144">
      <pivotArea field="6" type="button" dataOnly="0" labelOnly="1" outline="0" axis="axisRow" fieldPosition="0"/>
    </format>
    <format dxfId="1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685792-285E-4247-B5FD-175E69465F86}" name="PivotTable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J4:K9" firstHeaderRow="1" firstDataRow="1" firstDataCol="1"/>
  <pivotFields count="6">
    <pivotField numFmtId="164" showAll="0"/>
    <pivotField showAll="0"/>
    <pivotField axis="axisRow" showAll="0">
      <items count="4">
        <item x="2"/>
        <item x="0"/>
        <item x="1"/>
        <item t="default"/>
      </items>
    </pivotField>
    <pivotField dataField="1" showAll="0"/>
    <pivotField showAll="0"/>
    <pivotField axis="axisRow" showAll="0">
      <items count="3">
        <item n="Fruits" x="1"/>
        <item sd="0" x="0"/>
        <item t="default"/>
      </items>
    </pivotField>
  </pivotFields>
  <rowFields count="2">
    <field x="5"/>
    <field x="2"/>
  </rowFields>
  <rowItems count="5">
    <i>
      <x/>
    </i>
    <i r="1">
      <x/>
    </i>
    <i r="1">
      <x v="2"/>
    </i>
    <i>
      <x v="1"/>
    </i>
    <i t="grand">
      <x/>
    </i>
  </rowItems>
  <colItems count="1">
    <i/>
  </colItems>
  <dataFields count="1">
    <dataField name="Total Sales" fld="3" baseField="0" baseItem="0"/>
  </dataFields>
  <formats count="8">
    <format dxfId="82">
      <pivotArea type="all" dataOnly="0" outline="0" fieldPosition="0"/>
    </format>
    <format dxfId="83">
      <pivotArea outline="0" collapsedLevelsAreSubtotals="1" fieldPosition="0"/>
    </format>
    <format dxfId="84">
      <pivotArea field="2" type="button" dataOnly="0" labelOnly="1" outline="0" axis="axisRow" fieldPosition="1"/>
    </format>
    <format dxfId="85">
      <pivotArea dataOnly="0" labelOnly="1" fieldPosition="0">
        <references count="1">
          <reference field="2" count="0"/>
        </references>
      </pivotArea>
    </format>
    <format dxfId="86">
      <pivotArea dataOnly="0" labelOnly="1" grandRow="1" outline="0" fieldPosition="0"/>
    </format>
    <format dxfId="87">
      <pivotArea dataOnly="0" labelOnly="1" outline="0" axis="axisValues" fieldPosition="0"/>
    </format>
    <format dxfId="11">
      <pivotArea collapsedLevelsAreSubtotals="1" fieldPosition="0">
        <references count="1">
          <reference field="5" count="1">
            <x v="0"/>
          </reference>
        </references>
      </pivotArea>
    </format>
    <format dxfId="9">
      <pivotArea collapsedLevelsAreSubtotals="1" fieldPosition="0">
        <references count="1">
          <reference field="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E7D75BB-899E-4AAA-AF85-1FB625E70001}" sourceName="Product">
  <pivotTables>
    <pivotTable tabId="11" name="PivotTable2"/>
  </pivotTables>
  <data>
    <tabular pivotCacheId="14110207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434A457-BEB5-43E3-A1E5-BFD059939F38}" sourceName="Product">
  <pivotTables>
    <pivotTable tabId="13" name="PivotTable4"/>
  </pivotTables>
  <data>
    <tabular pivotCacheId="46007362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9CFD70F-2F32-45AB-A4F1-55F9D9E9120D}"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7599526-D618-4BEB-81F9-BE95491CEBA9}" cache="Slicer_Product1" caption="Product"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249977111117893"/>
  </sheetPr>
  <dimension ref="A1:F21"/>
  <sheetViews>
    <sheetView tabSelected="1" workbookViewId="0"/>
  </sheetViews>
  <sheetFormatPr defaultRowHeight="18" x14ac:dyDescent="0.35"/>
  <cols>
    <col min="1" max="1" width="11.44140625" style="2" customWidth="1"/>
    <col min="2" max="2" width="10.109375" style="2" customWidth="1"/>
    <col min="3" max="3" width="12" style="2" customWidth="1"/>
    <col min="4" max="4" width="9.77734375" style="2" customWidth="1"/>
    <col min="5" max="5" width="73.33203125" style="2" customWidth="1"/>
    <col min="6" max="7" width="8.88671875" style="2"/>
    <col min="8" max="8" width="72.88671875" style="2" customWidth="1"/>
    <col min="9" max="9" width="11.21875" style="2" bestFit="1" customWidth="1"/>
    <col min="10" max="10" width="14.21875" style="2" bestFit="1" customWidth="1"/>
    <col min="11" max="11" width="11.6640625" style="2" bestFit="1" customWidth="1"/>
    <col min="12" max="12" width="14.88671875" style="2" bestFit="1" customWidth="1"/>
    <col min="13" max="13" width="11.6640625" style="2" bestFit="1" customWidth="1"/>
    <col min="14" max="14" width="14.88671875" style="2" bestFit="1" customWidth="1"/>
    <col min="15" max="15" width="11.6640625" style="2" bestFit="1" customWidth="1"/>
    <col min="16" max="16" width="14.88671875" style="2" bestFit="1" customWidth="1"/>
    <col min="17" max="17" width="11.6640625" style="2" bestFit="1" customWidth="1"/>
    <col min="18" max="18" width="14.88671875" style="2" bestFit="1" customWidth="1"/>
    <col min="19" max="19" width="11.6640625" style="2" bestFit="1" customWidth="1"/>
    <col min="20" max="20" width="14.88671875" style="2" bestFit="1" customWidth="1"/>
    <col min="21" max="21" width="16.44140625" style="2" bestFit="1" customWidth="1"/>
    <col min="22" max="22" width="19.6640625" style="2" bestFit="1" customWidth="1"/>
    <col min="23" max="23" width="20.109375" style="2" bestFit="1" customWidth="1"/>
    <col min="24" max="24" width="22.88671875" style="2" bestFit="1" customWidth="1"/>
    <col min="25" max="25" width="20.109375" style="2" bestFit="1" customWidth="1"/>
    <col min="26" max="26" width="22.88671875" style="2" bestFit="1" customWidth="1"/>
    <col min="27" max="27" width="20.109375" style="2" bestFit="1" customWidth="1"/>
    <col min="28" max="28" width="22.88671875" style="2" bestFit="1" customWidth="1"/>
    <col min="29" max="29" width="20.109375" style="2" bestFit="1" customWidth="1"/>
    <col min="30" max="30" width="22.88671875" style="2" bestFit="1" customWidth="1"/>
    <col min="31" max="31" width="20.109375" style="2" bestFit="1" customWidth="1"/>
    <col min="32" max="32" width="22.88671875" style="2" bestFit="1" customWidth="1"/>
    <col min="33" max="33" width="20.109375" style="2" bestFit="1" customWidth="1"/>
    <col min="34" max="34" width="22.88671875" style="2" bestFit="1" customWidth="1"/>
    <col min="35" max="35" width="20.109375" style="2" bestFit="1" customWidth="1"/>
    <col min="36" max="36" width="22.88671875" style="2" bestFit="1" customWidth="1"/>
    <col min="37" max="37" width="20.109375" style="2" bestFit="1" customWidth="1"/>
    <col min="38" max="38" width="22.88671875" style="2" bestFit="1" customWidth="1"/>
    <col min="39" max="39" width="20.109375" style="2" bestFit="1" customWidth="1"/>
    <col min="40" max="40" width="22.88671875" style="2" bestFit="1" customWidth="1"/>
    <col min="41" max="41" width="20.109375" style="2" bestFit="1" customWidth="1"/>
    <col min="42" max="42" width="22.88671875" style="2" bestFit="1" customWidth="1"/>
    <col min="43" max="43" width="20.109375" style="2" bestFit="1" customWidth="1"/>
    <col min="44" max="44" width="22.88671875" style="2" bestFit="1" customWidth="1"/>
    <col min="45" max="45" width="20.109375" style="2" bestFit="1" customWidth="1"/>
    <col min="46" max="46" width="22.88671875" style="2" bestFit="1" customWidth="1"/>
    <col min="47" max="47" width="20.109375" style="2" bestFit="1" customWidth="1"/>
    <col min="48" max="48" width="22.88671875" style="2" bestFit="1" customWidth="1"/>
    <col min="49" max="49" width="10.77734375" style="2" bestFit="1" customWidth="1"/>
    <col min="50" max="16384" width="8.88671875" style="2"/>
  </cols>
  <sheetData>
    <row r="1" spans="1:6" x14ac:dyDescent="0.35">
      <c r="A1"/>
      <c r="B1"/>
      <c r="C1"/>
      <c r="D1"/>
      <c r="E1"/>
      <c r="F1" s="1" t="s">
        <v>12</v>
      </c>
    </row>
    <row r="2" spans="1:6" x14ac:dyDescent="0.35">
      <c r="A2"/>
      <c r="B2"/>
      <c r="C2"/>
      <c r="D2" s="3" t="s">
        <v>20</v>
      </c>
      <c r="E2" s="6" t="s">
        <v>21</v>
      </c>
    </row>
    <row r="3" spans="1:6" x14ac:dyDescent="0.35">
      <c r="A3"/>
      <c r="B3"/>
      <c r="C3"/>
      <c r="D3" s="10" t="s">
        <v>22</v>
      </c>
      <c r="E3" s="7" t="s">
        <v>23</v>
      </c>
    </row>
    <row r="4" spans="1:6" x14ac:dyDescent="0.35">
      <c r="A4"/>
      <c r="B4"/>
      <c r="C4"/>
      <c r="E4" s="8" t="s">
        <v>26</v>
      </c>
    </row>
    <row r="5" spans="1:6" x14ac:dyDescent="0.35">
      <c r="A5"/>
      <c r="B5"/>
      <c r="C5"/>
      <c r="E5" s="8" t="s">
        <v>24</v>
      </c>
    </row>
    <row r="6" spans="1:6" x14ac:dyDescent="0.35">
      <c r="A6"/>
      <c r="B6"/>
      <c r="C6"/>
      <c r="E6" s="9" t="s">
        <v>25</v>
      </c>
    </row>
    <row r="7" spans="1:6" x14ac:dyDescent="0.35">
      <c r="A7"/>
      <c r="B7"/>
      <c r="C7"/>
      <c r="D7"/>
      <c r="E7"/>
    </row>
    <row r="8" spans="1:6" x14ac:dyDescent="0.35">
      <c r="A8"/>
      <c r="B8"/>
      <c r="C8"/>
      <c r="D8"/>
      <c r="E8"/>
    </row>
    <row r="9" spans="1:6" x14ac:dyDescent="0.35">
      <c r="A9"/>
      <c r="B9"/>
      <c r="C9"/>
      <c r="D9"/>
      <c r="E9"/>
    </row>
    <row r="10" spans="1:6" x14ac:dyDescent="0.35">
      <c r="A10"/>
      <c r="B10"/>
      <c r="C10"/>
      <c r="D10"/>
      <c r="E10"/>
    </row>
    <row r="11" spans="1:6" x14ac:dyDescent="0.35">
      <c r="A11"/>
      <c r="B11"/>
      <c r="C11"/>
      <c r="D11"/>
      <c r="E11"/>
    </row>
    <row r="12" spans="1:6" x14ac:dyDescent="0.35">
      <c r="A12"/>
      <c r="B12"/>
      <c r="C12"/>
      <c r="D12"/>
      <c r="E12"/>
    </row>
    <row r="13" spans="1:6" x14ac:dyDescent="0.35">
      <c r="A13"/>
      <c r="B13"/>
      <c r="C13"/>
      <c r="D13"/>
      <c r="E13"/>
    </row>
    <row r="14" spans="1:6" x14ac:dyDescent="0.35">
      <c r="A14"/>
      <c r="B14"/>
      <c r="C14"/>
      <c r="D14"/>
      <c r="E14"/>
    </row>
    <row r="15" spans="1:6" x14ac:dyDescent="0.35">
      <c r="A15"/>
      <c r="B15"/>
      <c r="C15"/>
      <c r="D15"/>
      <c r="E15"/>
    </row>
    <row r="16" spans="1:6" x14ac:dyDescent="0.35">
      <c r="A16"/>
      <c r="B16"/>
      <c r="C16"/>
      <c r="D16"/>
      <c r="E16"/>
    </row>
    <row r="17" spans="1:5" x14ac:dyDescent="0.35">
      <c r="A17"/>
      <c r="B17"/>
      <c r="C17"/>
      <c r="D17"/>
      <c r="E17"/>
    </row>
    <row r="18" spans="1:5" x14ac:dyDescent="0.35">
      <c r="A18"/>
      <c r="B18"/>
      <c r="C18"/>
      <c r="D18"/>
      <c r="E18"/>
    </row>
    <row r="19" spans="1:5" x14ac:dyDescent="0.35">
      <c r="A19"/>
      <c r="B19"/>
      <c r="C19"/>
      <c r="D19"/>
      <c r="E19"/>
    </row>
    <row r="20" spans="1:5" x14ac:dyDescent="0.35">
      <c r="A20"/>
      <c r="B20"/>
      <c r="C20"/>
      <c r="D20"/>
      <c r="E20"/>
    </row>
    <row r="21" spans="1:5" x14ac:dyDescent="0.35">
      <c r="A21"/>
      <c r="B21"/>
      <c r="C21"/>
      <c r="D21"/>
      <c r="E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4FA57-E322-4C53-9DDA-4CE48D640A97}">
  <sheetPr>
    <tabColor theme="0" tint="-0.14999847407452621"/>
  </sheetPr>
  <dimension ref="A1:L22"/>
  <sheetViews>
    <sheetView workbookViewId="0"/>
  </sheetViews>
  <sheetFormatPr defaultRowHeight="18" x14ac:dyDescent="0.35"/>
  <cols>
    <col min="1" max="1" width="27.5546875" style="15" customWidth="1"/>
    <col min="2" max="2" width="11.109375" style="2" customWidth="1"/>
    <col min="3" max="3" width="12.109375" style="2" customWidth="1"/>
    <col min="4" max="4" width="10.5546875" style="2" customWidth="1"/>
    <col min="5" max="5" width="11.6640625" style="2" customWidth="1"/>
    <col min="6" max="7" width="8.88671875" style="2"/>
    <col min="8" max="8" width="16.5546875" style="2" customWidth="1"/>
    <col min="9" max="9" width="15.6640625" style="2" customWidth="1"/>
    <col min="10" max="16384" width="8.88671875" style="2"/>
  </cols>
  <sheetData>
    <row r="1" spans="1:12" x14ac:dyDescent="0.35">
      <c r="A1" s="13" t="s">
        <v>0</v>
      </c>
      <c r="B1" s="46" t="s">
        <v>1</v>
      </c>
      <c r="C1" s="46" t="s">
        <v>2</v>
      </c>
      <c r="D1" s="46" t="s">
        <v>3</v>
      </c>
      <c r="E1" s="46" t="s">
        <v>4</v>
      </c>
    </row>
    <row r="2" spans="1:12" x14ac:dyDescent="0.35">
      <c r="A2" s="14">
        <v>45292</v>
      </c>
      <c r="B2" s="5" t="s">
        <v>5</v>
      </c>
      <c r="C2" s="5" t="s">
        <v>9</v>
      </c>
      <c r="D2" s="5">
        <v>456</v>
      </c>
      <c r="E2" s="5">
        <v>93</v>
      </c>
      <c r="G2" s="46" t="s">
        <v>27</v>
      </c>
      <c r="H2" s="51" t="s">
        <v>28</v>
      </c>
      <c r="I2" s="55"/>
      <c r="J2" s="55"/>
      <c r="K2" s="55"/>
      <c r="L2" s="55"/>
    </row>
    <row r="3" spans="1:12" x14ac:dyDescent="0.35">
      <c r="A3" s="14">
        <v>45301.526315789473</v>
      </c>
      <c r="B3" s="5" t="s">
        <v>6</v>
      </c>
      <c r="C3" s="5" t="s">
        <v>10</v>
      </c>
      <c r="D3" s="5">
        <v>348</v>
      </c>
      <c r="E3" s="5">
        <v>56</v>
      </c>
      <c r="G3"/>
    </row>
    <row r="4" spans="1:12" x14ac:dyDescent="0.35">
      <c r="A4" s="14">
        <v>45311.052631578947</v>
      </c>
      <c r="B4" s="5" t="s">
        <v>6</v>
      </c>
      <c r="C4" s="5" t="s">
        <v>9</v>
      </c>
      <c r="D4" s="5">
        <v>247</v>
      </c>
      <c r="E4" s="5">
        <v>76</v>
      </c>
      <c r="H4" s="46" t="s">
        <v>30</v>
      </c>
      <c r="I4" s="46" t="s">
        <v>29</v>
      </c>
    </row>
    <row r="5" spans="1:12" x14ac:dyDescent="0.35">
      <c r="A5" s="14">
        <v>45320.578947368413</v>
      </c>
      <c r="B5" s="5" t="s">
        <v>5</v>
      </c>
      <c r="C5" s="5" t="s">
        <v>11</v>
      </c>
      <c r="D5" s="5">
        <v>230</v>
      </c>
      <c r="E5" s="5">
        <v>37</v>
      </c>
      <c r="H5" s="5" t="s">
        <v>7</v>
      </c>
      <c r="I5" s="17">
        <v>467</v>
      </c>
      <c r="J5"/>
    </row>
    <row r="6" spans="1:12" x14ac:dyDescent="0.35">
      <c r="A6" s="14">
        <v>45330.105263157893</v>
      </c>
      <c r="B6" s="5" t="s">
        <v>5</v>
      </c>
      <c r="C6" s="5" t="s">
        <v>9</v>
      </c>
      <c r="D6" s="5">
        <v>281</v>
      </c>
      <c r="E6" s="5">
        <v>50</v>
      </c>
      <c r="H6" s="5" t="s">
        <v>8</v>
      </c>
      <c r="I6" s="17">
        <v>347</v>
      </c>
      <c r="J6"/>
    </row>
    <row r="7" spans="1:12" x14ac:dyDescent="0.35">
      <c r="A7" s="14">
        <v>45339.631578947359</v>
      </c>
      <c r="B7" s="5" t="s">
        <v>5</v>
      </c>
      <c r="C7" s="5" t="s">
        <v>10</v>
      </c>
      <c r="D7" s="5">
        <v>334</v>
      </c>
      <c r="E7" s="5">
        <v>52</v>
      </c>
      <c r="H7" s="5" t="s">
        <v>6</v>
      </c>
      <c r="I7" s="17">
        <v>2518</v>
      </c>
      <c r="J7"/>
    </row>
    <row r="8" spans="1:12" x14ac:dyDescent="0.35">
      <c r="A8" s="14">
        <v>45349.15789473684</v>
      </c>
      <c r="B8" s="5" t="s">
        <v>6</v>
      </c>
      <c r="C8" s="5" t="s">
        <v>11</v>
      </c>
      <c r="D8" s="5">
        <v>417</v>
      </c>
      <c r="E8" s="5">
        <v>29</v>
      </c>
      <c r="H8" s="5" t="s">
        <v>5</v>
      </c>
      <c r="I8" s="17">
        <v>3497</v>
      </c>
      <c r="J8"/>
    </row>
    <row r="9" spans="1:12" x14ac:dyDescent="0.35">
      <c r="A9" s="14">
        <v>45358.684210526313</v>
      </c>
      <c r="B9" s="5" t="s">
        <v>5</v>
      </c>
      <c r="C9" s="5" t="s">
        <v>11</v>
      </c>
      <c r="D9" s="5">
        <v>441</v>
      </c>
      <c r="E9" s="5">
        <v>44</v>
      </c>
      <c r="H9" s="46" t="s">
        <v>13</v>
      </c>
      <c r="I9" s="56">
        <v>6829</v>
      </c>
      <c r="J9"/>
    </row>
    <row r="10" spans="1:12" x14ac:dyDescent="0.35">
      <c r="A10" s="14">
        <v>45368.210526315786</v>
      </c>
      <c r="B10" s="5" t="s">
        <v>6</v>
      </c>
      <c r="C10" s="5" t="s">
        <v>9</v>
      </c>
      <c r="D10" s="5">
        <v>76</v>
      </c>
      <c r="E10" s="5">
        <v>63</v>
      </c>
      <c r="J10"/>
    </row>
    <row r="11" spans="1:12" x14ac:dyDescent="0.35">
      <c r="A11" s="14">
        <v>45377.736842105252</v>
      </c>
      <c r="B11" s="5" t="s">
        <v>5</v>
      </c>
      <c r="C11" s="5" t="s">
        <v>10</v>
      </c>
      <c r="D11" s="5">
        <v>441</v>
      </c>
      <c r="E11" s="5">
        <v>79</v>
      </c>
      <c r="H11"/>
      <c r="I11"/>
      <c r="J11"/>
    </row>
    <row r="12" spans="1:12" x14ac:dyDescent="0.35">
      <c r="A12" s="14">
        <v>45387.263157894733</v>
      </c>
      <c r="B12" s="5" t="s">
        <v>6</v>
      </c>
      <c r="C12" s="5" t="s">
        <v>9</v>
      </c>
      <c r="D12" s="5">
        <v>205</v>
      </c>
      <c r="E12" s="5">
        <v>23</v>
      </c>
      <c r="H12"/>
      <c r="I12"/>
      <c r="J12"/>
    </row>
    <row r="13" spans="1:12" x14ac:dyDescent="0.35">
      <c r="A13" s="14">
        <v>45396.789473684199</v>
      </c>
      <c r="B13" s="5" t="s">
        <v>5</v>
      </c>
      <c r="C13" s="5" t="s">
        <v>10</v>
      </c>
      <c r="D13" s="5">
        <v>483</v>
      </c>
      <c r="E13" s="5">
        <v>97</v>
      </c>
      <c r="H13"/>
      <c r="I13"/>
      <c r="J13"/>
    </row>
    <row r="14" spans="1:12" x14ac:dyDescent="0.35">
      <c r="A14" s="14">
        <v>45406.31578947368</v>
      </c>
      <c r="B14" s="5" t="s">
        <v>7</v>
      </c>
      <c r="C14" s="5" t="s">
        <v>9</v>
      </c>
      <c r="D14" s="5">
        <v>467</v>
      </c>
      <c r="E14" s="5">
        <v>97</v>
      </c>
      <c r="H14"/>
      <c r="I14"/>
      <c r="J14"/>
    </row>
    <row r="15" spans="1:12" x14ac:dyDescent="0.35">
      <c r="A15" s="14">
        <v>45415.842105263153</v>
      </c>
      <c r="B15" s="5" t="s">
        <v>5</v>
      </c>
      <c r="C15" s="5" t="s">
        <v>9</v>
      </c>
      <c r="D15" s="5">
        <v>380</v>
      </c>
      <c r="E15" s="5">
        <v>92</v>
      </c>
      <c r="H15"/>
      <c r="I15"/>
      <c r="J15"/>
    </row>
    <row r="16" spans="1:12" x14ac:dyDescent="0.35">
      <c r="A16" s="14">
        <v>45425.368421052633</v>
      </c>
      <c r="B16" s="5" t="s">
        <v>6</v>
      </c>
      <c r="C16" s="5" t="s">
        <v>10</v>
      </c>
      <c r="D16" s="5">
        <v>497</v>
      </c>
      <c r="E16" s="5">
        <v>71</v>
      </c>
      <c r="H16"/>
      <c r="I16"/>
      <c r="J16"/>
    </row>
    <row r="17" spans="1:10" x14ac:dyDescent="0.35">
      <c r="A17" s="14">
        <v>45434.894736842092</v>
      </c>
      <c r="B17" s="5" t="s">
        <v>6</v>
      </c>
      <c r="C17" s="5" t="s">
        <v>9</v>
      </c>
      <c r="D17" s="5">
        <v>409</v>
      </c>
      <c r="E17" s="5">
        <v>81</v>
      </c>
      <c r="H17"/>
      <c r="I17"/>
      <c r="J17"/>
    </row>
    <row r="18" spans="1:10" x14ac:dyDescent="0.35">
      <c r="A18" s="14">
        <v>45444.421052631573</v>
      </c>
      <c r="B18" s="5" t="s">
        <v>5</v>
      </c>
      <c r="C18" s="5" t="s">
        <v>10</v>
      </c>
      <c r="D18" s="5">
        <v>53</v>
      </c>
      <c r="E18" s="5">
        <v>45</v>
      </c>
      <c r="H18"/>
      <c r="I18"/>
      <c r="J18"/>
    </row>
    <row r="19" spans="1:10" x14ac:dyDescent="0.35">
      <c r="A19" s="14">
        <v>45453.947368421039</v>
      </c>
      <c r="B19" s="5" t="s">
        <v>5</v>
      </c>
      <c r="C19" s="5" t="s">
        <v>11</v>
      </c>
      <c r="D19" s="5">
        <v>398</v>
      </c>
      <c r="E19" s="5">
        <v>33</v>
      </c>
      <c r="H19"/>
      <c r="I19"/>
      <c r="J19"/>
    </row>
    <row r="20" spans="1:10" x14ac:dyDescent="0.35">
      <c r="A20" s="14">
        <v>45463.473684210519</v>
      </c>
      <c r="B20" s="5" t="s">
        <v>8</v>
      </c>
      <c r="C20" s="5" t="s">
        <v>10</v>
      </c>
      <c r="D20" s="5">
        <v>347</v>
      </c>
      <c r="E20" s="5">
        <v>35</v>
      </c>
      <c r="H20"/>
      <c r="I20"/>
      <c r="J20"/>
    </row>
    <row r="21" spans="1:10" x14ac:dyDescent="0.35">
      <c r="A21" s="14">
        <v>45473</v>
      </c>
      <c r="B21" s="5" t="s">
        <v>6</v>
      </c>
      <c r="C21" s="5" t="s">
        <v>11</v>
      </c>
      <c r="D21" s="5">
        <v>319</v>
      </c>
      <c r="E21" s="5">
        <v>45</v>
      </c>
      <c r="H21"/>
      <c r="I21"/>
      <c r="J21"/>
    </row>
    <row r="22" spans="1:10" x14ac:dyDescent="0.35">
      <c r="H22"/>
      <c r="I22"/>
      <c r="J22"/>
    </row>
  </sheetData>
  <mergeCells count="1">
    <mergeCell ref="H2: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E249D-FBDB-463C-9AD0-250F17E11688}">
  <sheetPr>
    <tabColor theme="1" tint="0.249977111117893"/>
  </sheetPr>
  <dimension ref="A1:H21"/>
  <sheetViews>
    <sheetView workbookViewId="0"/>
  </sheetViews>
  <sheetFormatPr defaultRowHeight="18" x14ac:dyDescent="0.35"/>
  <cols>
    <col min="1" max="1" width="27" style="15" customWidth="1"/>
    <col min="2" max="2" width="11" style="2" customWidth="1"/>
    <col min="3" max="3" width="13.6640625" style="2" customWidth="1"/>
    <col min="4" max="4" width="10.6640625" style="2" customWidth="1"/>
    <col min="5" max="5" width="12.109375" style="2" customWidth="1"/>
    <col min="6" max="7" width="8.88671875" style="2"/>
    <col min="8" max="8" width="73.33203125" style="2" customWidth="1"/>
    <col min="9" max="16384" width="8.88671875" style="2"/>
  </cols>
  <sheetData>
    <row r="1" spans="1:8" x14ac:dyDescent="0.35">
      <c r="A1" s="13" t="s">
        <v>0</v>
      </c>
      <c r="B1" s="46" t="s">
        <v>1</v>
      </c>
      <c r="C1" s="46" t="s">
        <v>2</v>
      </c>
      <c r="D1" s="46" t="s">
        <v>3</v>
      </c>
      <c r="E1" s="46" t="s">
        <v>4</v>
      </c>
    </row>
    <row r="2" spans="1:8" x14ac:dyDescent="0.35">
      <c r="A2" s="14">
        <v>45292</v>
      </c>
      <c r="B2" s="5" t="s">
        <v>5</v>
      </c>
      <c r="C2" s="5" t="s">
        <v>9</v>
      </c>
      <c r="D2" s="5">
        <v>456</v>
      </c>
      <c r="E2" s="5">
        <v>93</v>
      </c>
      <c r="G2" s="46" t="s">
        <v>31</v>
      </c>
      <c r="H2" s="50" t="s">
        <v>32</v>
      </c>
    </row>
    <row r="3" spans="1:8" x14ac:dyDescent="0.35">
      <c r="A3" s="14">
        <v>45301.526315789473</v>
      </c>
      <c r="B3" s="5" t="s">
        <v>6</v>
      </c>
      <c r="C3" s="5" t="s">
        <v>10</v>
      </c>
      <c r="D3" s="5">
        <v>348</v>
      </c>
      <c r="E3" s="5">
        <v>56</v>
      </c>
      <c r="G3" s="10" t="s">
        <v>22</v>
      </c>
      <c r="H3" s="7" t="s">
        <v>33</v>
      </c>
    </row>
    <row r="4" spans="1:8" x14ac:dyDescent="0.35">
      <c r="A4" s="14">
        <v>45311.052631578947</v>
      </c>
      <c r="B4" s="5" t="s">
        <v>6</v>
      </c>
      <c r="C4" s="5" t="s">
        <v>9</v>
      </c>
      <c r="D4" s="5">
        <v>247</v>
      </c>
      <c r="E4" s="5">
        <v>76</v>
      </c>
      <c r="H4" s="9" t="s">
        <v>34</v>
      </c>
    </row>
    <row r="5" spans="1:8" x14ac:dyDescent="0.35">
      <c r="A5" s="14">
        <v>45320.578947368413</v>
      </c>
      <c r="B5" s="5" t="s">
        <v>5</v>
      </c>
      <c r="C5" s="5" t="s">
        <v>11</v>
      </c>
      <c r="D5" s="5">
        <v>230</v>
      </c>
      <c r="E5" s="5">
        <v>37</v>
      </c>
    </row>
    <row r="6" spans="1:8" x14ac:dyDescent="0.35">
      <c r="A6" s="14">
        <v>45330.105263157893</v>
      </c>
      <c r="B6" s="5" t="s">
        <v>5</v>
      </c>
      <c r="C6" s="5" t="s">
        <v>9</v>
      </c>
      <c r="D6" s="5">
        <v>281</v>
      </c>
      <c r="E6" s="5">
        <v>50</v>
      </c>
    </row>
    <row r="7" spans="1:8" x14ac:dyDescent="0.35">
      <c r="A7" s="14">
        <v>45339.631578947359</v>
      </c>
      <c r="B7" s="5" t="s">
        <v>5</v>
      </c>
      <c r="C7" s="5" t="s">
        <v>10</v>
      </c>
      <c r="D7" s="5">
        <v>334</v>
      </c>
      <c r="E7" s="5">
        <v>52</v>
      </c>
    </row>
    <row r="8" spans="1:8" x14ac:dyDescent="0.35">
      <c r="A8" s="14">
        <v>45349.15789473684</v>
      </c>
      <c r="B8" s="5" t="s">
        <v>6</v>
      </c>
      <c r="C8" s="5" t="s">
        <v>11</v>
      </c>
      <c r="D8" s="5">
        <v>417</v>
      </c>
      <c r="E8" s="5">
        <v>29</v>
      </c>
    </row>
    <row r="9" spans="1:8" x14ac:dyDescent="0.35">
      <c r="A9" s="14">
        <v>45358.684210526313</v>
      </c>
      <c r="B9" s="5" t="s">
        <v>5</v>
      </c>
      <c r="C9" s="5" t="s">
        <v>11</v>
      </c>
      <c r="D9" s="5">
        <v>441</v>
      </c>
      <c r="E9" s="5">
        <v>44</v>
      </c>
    </row>
    <row r="10" spans="1:8" x14ac:dyDescent="0.35">
      <c r="A10" s="14">
        <v>45368.210526315786</v>
      </c>
      <c r="B10" s="5" t="s">
        <v>6</v>
      </c>
      <c r="C10" s="5" t="s">
        <v>9</v>
      </c>
      <c r="D10" s="5">
        <v>76</v>
      </c>
      <c r="E10" s="5">
        <v>63</v>
      </c>
    </row>
    <row r="11" spans="1:8" x14ac:dyDescent="0.35">
      <c r="A11" s="14">
        <v>45377.736842105252</v>
      </c>
      <c r="B11" s="5" t="s">
        <v>5</v>
      </c>
      <c r="C11" s="5" t="s">
        <v>10</v>
      </c>
      <c r="D11" s="5">
        <v>441</v>
      </c>
      <c r="E11" s="5">
        <v>79</v>
      </c>
    </row>
    <row r="12" spans="1:8" x14ac:dyDescent="0.35">
      <c r="A12" s="14">
        <v>45387.263157894733</v>
      </c>
      <c r="B12" s="5" t="s">
        <v>6</v>
      </c>
      <c r="C12" s="5" t="s">
        <v>9</v>
      </c>
      <c r="D12" s="5">
        <v>205</v>
      </c>
      <c r="E12" s="5">
        <v>23</v>
      </c>
    </row>
    <row r="13" spans="1:8" x14ac:dyDescent="0.35">
      <c r="A13" s="14">
        <v>45396.789473684199</v>
      </c>
      <c r="B13" s="5" t="s">
        <v>5</v>
      </c>
      <c r="C13" s="5" t="s">
        <v>10</v>
      </c>
      <c r="D13" s="5">
        <v>483</v>
      </c>
      <c r="E13" s="5">
        <v>97</v>
      </c>
    </row>
    <row r="14" spans="1:8" x14ac:dyDescent="0.35">
      <c r="A14" s="14">
        <v>45406.31578947368</v>
      </c>
      <c r="B14" s="5" t="s">
        <v>7</v>
      </c>
      <c r="C14" s="5" t="s">
        <v>9</v>
      </c>
      <c r="D14" s="5">
        <v>467</v>
      </c>
      <c r="E14" s="5">
        <v>97</v>
      </c>
    </row>
    <row r="15" spans="1:8" x14ac:dyDescent="0.35">
      <c r="A15" s="14">
        <v>45415.842105263153</v>
      </c>
      <c r="B15" s="5" t="s">
        <v>5</v>
      </c>
      <c r="C15" s="5" t="s">
        <v>9</v>
      </c>
      <c r="D15" s="5">
        <v>380</v>
      </c>
      <c r="E15" s="5">
        <v>92</v>
      </c>
    </row>
    <row r="16" spans="1:8" x14ac:dyDescent="0.35">
      <c r="A16" s="14">
        <v>45425.368421052633</v>
      </c>
      <c r="B16" s="5" t="s">
        <v>6</v>
      </c>
      <c r="C16" s="5" t="s">
        <v>10</v>
      </c>
      <c r="D16" s="5">
        <v>497</v>
      </c>
      <c r="E16" s="5">
        <v>71</v>
      </c>
    </row>
    <row r="17" spans="1:5" x14ac:dyDescent="0.35">
      <c r="A17" s="14">
        <v>45434.894736842092</v>
      </c>
      <c r="B17" s="5" t="s">
        <v>6</v>
      </c>
      <c r="C17" s="5" t="s">
        <v>9</v>
      </c>
      <c r="D17" s="5">
        <v>409</v>
      </c>
      <c r="E17" s="5">
        <v>81</v>
      </c>
    </row>
    <row r="18" spans="1:5" x14ac:dyDescent="0.35">
      <c r="A18" s="14">
        <v>45444.421052631573</v>
      </c>
      <c r="B18" s="5" t="s">
        <v>5</v>
      </c>
      <c r="C18" s="5" t="s">
        <v>10</v>
      </c>
      <c r="D18" s="5">
        <v>53</v>
      </c>
      <c r="E18" s="5">
        <v>45</v>
      </c>
    </row>
    <row r="19" spans="1:5" x14ac:dyDescent="0.35">
      <c r="A19" s="14">
        <v>45453.947368421039</v>
      </c>
      <c r="B19" s="5" t="s">
        <v>5</v>
      </c>
      <c r="C19" s="5" t="s">
        <v>11</v>
      </c>
      <c r="D19" s="5">
        <v>398</v>
      </c>
      <c r="E19" s="5">
        <v>33</v>
      </c>
    </row>
    <row r="20" spans="1:5" x14ac:dyDescent="0.35">
      <c r="A20" s="14">
        <v>45463.473684210519</v>
      </c>
      <c r="B20" s="5" t="s">
        <v>8</v>
      </c>
      <c r="C20" s="5" t="s">
        <v>10</v>
      </c>
      <c r="D20" s="5">
        <v>347</v>
      </c>
      <c r="E20" s="5">
        <v>35</v>
      </c>
    </row>
    <row r="21" spans="1:5" x14ac:dyDescent="0.35">
      <c r="A21" s="14">
        <v>45473</v>
      </c>
      <c r="B21" s="5" t="s">
        <v>6</v>
      </c>
      <c r="C21" s="5" t="s">
        <v>11</v>
      </c>
      <c r="D21" s="5">
        <v>319</v>
      </c>
      <c r="E21" s="5">
        <v>45</v>
      </c>
    </row>
  </sheetData>
  <conditionalFormatting sqref="A2:E21">
    <cfRule type="expression" dxfId="45" priority="3">
      <formula>$D2&gt;400</formula>
    </cfRule>
  </conditionalFormatting>
  <conditionalFormatting sqref="G3:H3">
    <cfRule type="expression" dxfId="44" priority="2">
      <formula>$D3&gt;400</formula>
    </cfRule>
  </conditionalFormatting>
  <conditionalFormatting sqref="H4">
    <cfRule type="expression" dxfId="43" priority="1">
      <formula>$D4&gt;400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09A97-ACD3-49E0-B014-01E0BAEBC669}">
  <sheetPr>
    <tabColor theme="0" tint="-0.14999847407452621"/>
  </sheetPr>
  <dimension ref="A1:H21"/>
  <sheetViews>
    <sheetView workbookViewId="0"/>
  </sheetViews>
  <sheetFormatPr defaultRowHeight="18" x14ac:dyDescent="0.35"/>
  <cols>
    <col min="1" max="1" width="25.88671875" style="2" customWidth="1"/>
    <col min="2" max="2" width="11.21875" style="2" customWidth="1"/>
    <col min="3" max="3" width="13.109375" style="2" customWidth="1"/>
    <col min="4" max="4" width="10.21875" style="2" customWidth="1"/>
    <col min="5" max="5" width="12.109375" style="2" customWidth="1"/>
    <col min="6" max="7" width="8.88671875" style="2"/>
    <col min="8" max="8" width="96.33203125" style="2" customWidth="1"/>
    <col min="9" max="16384" width="8.88671875" style="2"/>
  </cols>
  <sheetData>
    <row r="1" spans="1:8" x14ac:dyDescent="0.35">
      <c r="A1" s="13" t="s">
        <v>0</v>
      </c>
      <c r="B1" s="46" t="s">
        <v>1</v>
      </c>
      <c r="C1" s="46" t="s">
        <v>2</v>
      </c>
      <c r="D1" s="46" t="s">
        <v>3</v>
      </c>
      <c r="E1" s="46" t="s">
        <v>4</v>
      </c>
    </row>
    <row r="2" spans="1:8" x14ac:dyDescent="0.35">
      <c r="A2" s="4">
        <v>45292</v>
      </c>
      <c r="B2" s="5" t="s">
        <v>5</v>
      </c>
      <c r="C2" s="5" t="s">
        <v>9</v>
      </c>
      <c r="D2" s="5">
        <v>456</v>
      </c>
      <c r="E2" s="5">
        <v>93</v>
      </c>
      <c r="G2" s="46" t="s">
        <v>35</v>
      </c>
      <c r="H2" s="46" t="s">
        <v>36</v>
      </c>
    </row>
    <row r="3" spans="1:8" x14ac:dyDescent="0.35">
      <c r="A3" s="4">
        <v>45301.526315789473</v>
      </c>
      <c r="B3" s="5" t="s">
        <v>6</v>
      </c>
      <c r="C3" s="5" t="s">
        <v>10</v>
      </c>
      <c r="D3" s="5">
        <v>348</v>
      </c>
      <c r="E3" s="5">
        <v>56</v>
      </c>
      <c r="G3" s="10" t="s">
        <v>22</v>
      </c>
      <c r="H3" s="18" t="s">
        <v>37</v>
      </c>
    </row>
    <row r="4" spans="1:8" x14ac:dyDescent="0.35">
      <c r="A4" s="4">
        <v>45311.052631578947</v>
      </c>
      <c r="B4" s="5" t="s">
        <v>6</v>
      </c>
      <c r="C4" s="5" t="s">
        <v>9</v>
      </c>
      <c r="D4" s="5">
        <v>247</v>
      </c>
      <c r="E4" s="5">
        <v>76</v>
      </c>
      <c r="H4" s="19" t="s">
        <v>39</v>
      </c>
    </row>
    <row r="5" spans="1:8" x14ac:dyDescent="0.35">
      <c r="A5" s="4">
        <v>45320.578947368413</v>
      </c>
      <c r="B5" s="5" t="s">
        <v>5</v>
      </c>
      <c r="C5" s="5" t="s">
        <v>11</v>
      </c>
      <c r="D5" s="5">
        <v>230</v>
      </c>
      <c r="E5" s="5">
        <v>37</v>
      </c>
      <c r="H5" s="20" t="s">
        <v>40</v>
      </c>
    </row>
    <row r="6" spans="1:8" x14ac:dyDescent="0.35">
      <c r="A6" s="4">
        <v>45330.105263157893</v>
      </c>
      <c r="B6" s="5" t="s">
        <v>5</v>
      </c>
      <c r="C6" s="5" t="s">
        <v>9</v>
      </c>
      <c r="D6" s="5">
        <v>281</v>
      </c>
      <c r="E6" s="5">
        <v>50</v>
      </c>
      <c r="H6" s="19" t="s">
        <v>41</v>
      </c>
    </row>
    <row r="7" spans="1:8" x14ac:dyDescent="0.35">
      <c r="A7" s="4">
        <v>45339.631578947359</v>
      </c>
      <c r="B7" s="5" t="s">
        <v>5</v>
      </c>
      <c r="C7" s="5" t="s">
        <v>10</v>
      </c>
      <c r="D7" s="5">
        <v>334</v>
      </c>
      <c r="E7" s="5">
        <v>52</v>
      </c>
      <c r="H7" s="21" t="s">
        <v>42</v>
      </c>
    </row>
    <row r="8" spans="1:8" x14ac:dyDescent="0.35">
      <c r="A8" s="4">
        <v>45349.15789473684</v>
      </c>
      <c r="B8" s="5" t="s">
        <v>6</v>
      </c>
      <c r="C8" s="5" t="s">
        <v>11</v>
      </c>
      <c r="D8" s="5">
        <v>417</v>
      </c>
      <c r="E8" s="5">
        <v>29</v>
      </c>
      <c r="H8" s="18" t="s">
        <v>38</v>
      </c>
    </row>
    <row r="9" spans="1:8" x14ac:dyDescent="0.35">
      <c r="A9" s="4">
        <v>45358.684210526313</v>
      </c>
      <c r="B9" s="5" t="s">
        <v>5</v>
      </c>
      <c r="C9" s="5" t="s">
        <v>11</v>
      </c>
      <c r="D9" s="5">
        <v>441</v>
      </c>
      <c r="E9" s="5">
        <v>44</v>
      </c>
      <c r="H9" s="19" t="s">
        <v>46</v>
      </c>
    </row>
    <row r="10" spans="1:8" x14ac:dyDescent="0.35">
      <c r="A10" s="4">
        <v>45368.210526315786</v>
      </c>
      <c r="B10" s="5" t="s">
        <v>6</v>
      </c>
      <c r="C10" s="5" t="s">
        <v>9</v>
      </c>
      <c r="D10" s="5">
        <v>76</v>
      </c>
      <c r="E10" s="5">
        <v>63</v>
      </c>
      <c r="H10" s="19" t="s">
        <v>43</v>
      </c>
    </row>
    <row r="11" spans="1:8" x14ac:dyDescent="0.35">
      <c r="A11" s="4">
        <v>45377.736842105252</v>
      </c>
      <c r="B11" s="5" t="s">
        <v>5</v>
      </c>
      <c r="C11" s="5" t="s">
        <v>10</v>
      </c>
      <c r="D11" s="5">
        <v>441</v>
      </c>
      <c r="E11" s="5">
        <v>79</v>
      </c>
      <c r="H11" s="19" t="s">
        <v>44</v>
      </c>
    </row>
    <row r="12" spans="1:8" x14ac:dyDescent="0.35">
      <c r="A12" s="4">
        <v>45387.263157894733</v>
      </c>
      <c r="B12" s="5" t="s">
        <v>6</v>
      </c>
      <c r="C12" s="5" t="s">
        <v>9</v>
      </c>
      <c r="D12" s="5">
        <v>205</v>
      </c>
      <c r="E12" s="5">
        <v>23</v>
      </c>
      <c r="H12" s="22" t="s">
        <v>45</v>
      </c>
    </row>
    <row r="13" spans="1:8" x14ac:dyDescent="0.35">
      <c r="A13" s="4">
        <v>45396.789473684199</v>
      </c>
      <c r="B13" s="5" t="s">
        <v>5</v>
      </c>
      <c r="C13" s="5" t="s">
        <v>10</v>
      </c>
      <c r="D13" s="5">
        <v>483</v>
      </c>
      <c r="E13" s="5">
        <v>97</v>
      </c>
    </row>
    <row r="14" spans="1:8" x14ac:dyDescent="0.35">
      <c r="A14" s="4">
        <v>45406.31578947368</v>
      </c>
      <c r="B14" s="5" t="s">
        <v>7</v>
      </c>
      <c r="C14" s="5" t="s">
        <v>9</v>
      </c>
      <c r="D14" s="5">
        <v>467</v>
      </c>
      <c r="E14" s="5">
        <v>97</v>
      </c>
    </row>
    <row r="15" spans="1:8" x14ac:dyDescent="0.35">
      <c r="A15" s="4">
        <v>45415.842105263153</v>
      </c>
      <c r="B15" s="5" t="s">
        <v>5</v>
      </c>
      <c r="C15" s="5" t="s">
        <v>9</v>
      </c>
      <c r="D15" s="5">
        <v>380</v>
      </c>
      <c r="E15" s="5">
        <v>92</v>
      </c>
    </row>
    <row r="16" spans="1:8" x14ac:dyDescent="0.35">
      <c r="A16" s="4">
        <v>45425.368421052633</v>
      </c>
      <c r="B16" s="5" t="s">
        <v>6</v>
      </c>
      <c r="C16" s="5" t="s">
        <v>10</v>
      </c>
      <c r="D16" s="5">
        <v>497</v>
      </c>
      <c r="E16" s="5">
        <v>71</v>
      </c>
    </row>
    <row r="17" spans="1:5" x14ac:dyDescent="0.35">
      <c r="A17" s="4">
        <v>45434.894736842092</v>
      </c>
      <c r="B17" s="5" t="s">
        <v>6</v>
      </c>
      <c r="C17" s="5" t="s">
        <v>9</v>
      </c>
      <c r="D17" s="5">
        <v>409</v>
      </c>
      <c r="E17" s="5">
        <v>81</v>
      </c>
    </row>
    <row r="18" spans="1:5" x14ac:dyDescent="0.35">
      <c r="A18" s="4">
        <v>45444.421052631573</v>
      </c>
      <c r="B18" s="5" t="s">
        <v>5</v>
      </c>
      <c r="C18" s="5" t="s">
        <v>10</v>
      </c>
      <c r="D18" s="5">
        <v>53</v>
      </c>
      <c r="E18" s="5">
        <v>45</v>
      </c>
    </row>
    <row r="19" spans="1:5" x14ac:dyDescent="0.35">
      <c r="A19" s="4">
        <v>45453.947368421039</v>
      </c>
      <c r="B19" s="5" t="s">
        <v>5</v>
      </c>
      <c r="C19" s="5" t="s">
        <v>11</v>
      </c>
      <c r="D19" s="5">
        <v>398</v>
      </c>
      <c r="E19" s="5">
        <v>33</v>
      </c>
    </row>
    <row r="20" spans="1:5" x14ac:dyDescent="0.35">
      <c r="A20" s="4">
        <v>45463.473684210519</v>
      </c>
      <c r="B20" s="5" t="s">
        <v>8</v>
      </c>
      <c r="C20" s="5" t="s">
        <v>10</v>
      </c>
      <c r="D20" s="5">
        <v>347</v>
      </c>
      <c r="E20" s="5">
        <v>35</v>
      </c>
    </row>
    <row r="21" spans="1:5" x14ac:dyDescent="0.35">
      <c r="A21" s="4">
        <v>45473</v>
      </c>
      <c r="B21" s="5" t="s">
        <v>6</v>
      </c>
      <c r="C21" s="5" t="s">
        <v>11</v>
      </c>
      <c r="D21" s="5">
        <v>319</v>
      </c>
      <c r="E21" s="5">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C98E6-4D52-4635-81E3-1500590BEEA2}">
  <sheetPr>
    <tabColor theme="1" tint="0.249977111117893"/>
  </sheetPr>
  <dimension ref="A1:Q26"/>
  <sheetViews>
    <sheetView workbookViewId="0"/>
  </sheetViews>
  <sheetFormatPr defaultRowHeight="18" x14ac:dyDescent="0.35"/>
  <cols>
    <col min="1" max="1" width="28" style="2" customWidth="1"/>
    <col min="2" max="2" width="11.109375" style="2" customWidth="1"/>
    <col min="3" max="3" width="12.33203125" style="2" customWidth="1"/>
    <col min="4" max="4" width="10.5546875" style="2" customWidth="1"/>
    <col min="5" max="5" width="12.6640625" style="2" customWidth="1"/>
    <col min="6" max="7" width="8.88671875" style="2"/>
    <col min="8" max="8" width="11" style="2" customWidth="1"/>
    <col min="9" max="9" width="12.33203125" style="2" customWidth="1"/>
    <col min="10" max="14" width="8.88671875" style="2"/>
    <col min="15" max="15" width="9.109375" style="2" customWidth="1"/>
    <col min="16" max="16" width="12.21875" style="2" customWidth="1"/>
    <col min="17" max="17" width="14.44140625" style="2" customWidth="1"/>
    <col min="18" max="16384" width="8.88671875" style="2"/>
  </cols>
  <sheetData>
    <row r="1" spans="1:17" x14ac:dyDescent="0.35">
      <c r="A1" s="13" t="s">
        <v>0</v>
      </c>
      <c r="B1" s="46" t="s">
        <v>1</v>
      </c>
      <c r="C1" s="46" t="s">
        <v>2</v>
      </c>
      <c r="D1" s="46" t="s">
        <v>3</v>
      </c>
      <c r="E1" s="46" t="s">
        <v>4</v>
      </c>
    </row>
    <row r="2" spans="1:17" x14ac:dyDescent="0.35">
      <c r="A2" s="4">
        <v>45292</v>
      </c>
      <c r="B2" s="5" t="s">
        <v>5</v>
      </c>
      <c r="C2" s="5" t="s">
        <v>9</v>
      </c>
      <c r="D2" s="5">
        <v>456</v>
      </c>
      <c r="E2" s="5">
        <v>93</v>
      </c>
      <c r="G2" s="46" t="s">
        <v>47</v>
      </c>
      <c r="H2" s="51" t="s">
        <v>48</v>
      </c>
      <c r="I2" s="55"/>
      <c r="J2" s="55"/>
      <c r="K2" s="55"/>
      <c r="L2" s="55"/>
      <c r="M2" s="55"/>
      <c r="N2" s="55"/>
    </row>
    <row r="3" spans="1:17" x14ac:dyDescent="0.35">
      <c r="A3" s="4">
        <v>45301.526315789473</v>
      </c>
      <c r="B3" s="5" t="s">
        <v>6</v>
      </c>
      <c r="C3" s="5" t="s">
        <v>10</v>
      </c>
      <c r="D3" s="5">
        <v>348</v>
      </c>
      <c r="E3" s="5">
        <v>56</v>
      </c>
      <c r="P3" s="11" t="s">
        <v>49</v>
      </c>
      <c r="Q3" s="24" t="s">
        <v>29</v>
      </c>
    </row>
    <row r="4" spans="1:17" x14ac:dyDescent="0.35">
      <c r="A4" s="4">
        <v>45311.052631578947</v>
      </c>
      <c r="B4" s="5" t="s">
        <v>6</v>
      </c>
      <c r="C4" s="5" t="s">
        <v>9</v>
      </c>
      <c r="D4" s="5">
        <v>247</v>
      </c>
      <c r="E4" s="5">
        <v>76</v>
      </c>
      <c r="P4" s="12" t="s">
        <v>14</v>
      </c>
      <c r="Q4" s="25">
        <v>1281</v>
      </c>
    </row>
    <row r="5" spans="1:17" x14ac:dyDescent="0.35">
      <c r="A5" s="4">
        <v>45320.578947368413</v>
      </c>
      <c r="B5" s="5" t="s">
        <v>5</v>
      </c>
      <c r="C5" s="5" t="s">
        <v>11</v>
      </c>
      <c r="D5" s="5">
        <v>230</v>
      </c>
      <c r="E5" s="5">
        <v>37</v>
      </c>
      <c r="J5"/>
      <c r="P5" s="12" t="s">
        <v>15</v>
      </c>
      <c r="Q5" s="25">
        <v>1032</v>
      </c>
    </row>
    <row r="6" spans="1:17" x14ac:dyDescent="0.35">
      <c r="A6" s="4">
        <v>45330.105263157893</v>
      </c>
      <c r="B6" s="5" t="s">
        <v>5</v>
      </c>
      <c r="C6" s="5" t="s">
        <v>9</v>
      </c>
      <c r="D6" s="5">
        <v>281</v>
      </c>
      <c r="E6" s="5">
        <v>50</v>
      </c>
      <c r="J6"/>
      <c r="P6" s="12" t="s">
        <v>16</v>
      </c>
      <c r="Q6" s="25">
        <v>958</v>
      </c>
    </row>
    <row r="7" spans="1:17" x14ac:dyDescent="0.35">
      <c r="A7" s="4">
        <v>45339.631578947359</v>
      </c>
      <c r="B7" s="5" t="s">
        <v>5</v>
      </c>
      <c r="C7" s="5" t="s">
        <v>10</v>
      </c>
      <c r="D7" s="5">
        <v>334</v>
      </c>
      <c r="E7" s="5">
        <v>52</v>
      </c>
      <c r="J7"/>
      <c r="P7" s="12" t="s">
        <v>18</v>
      </c>
      <c r="Q7" s="25">
        <v>1155</v>
      </c>
    </row>
    <row r="8" spans="1:17" x14ac:dyDescent="0.35">
      <c r="A8" s="4">
        <v>45349.15789473684</v>
      </c>
      <c r="B8" s="5" t="s">
        <v>6</v>
      </c>
      <c r="C8" s="5" t="s">
        <v>11</v>
      </c>
      <c r="D8" s="5">
        <v>417</v>
      </c>
      <c r="E8" s="5">
        <v>29</v>
      </c>
      <c r="J8"/>
      <c r="P8" s="12" t="s">
        <v>19</v>
      </c>
      <c r="Q8" s="25">
        <v>1286</v>
      </c>
    </row>
    <row r="9" spans="1:17" x14ac:dyDescent="0.35">
      <c r="A9" s="4">
        <v>45358.684210526313</v>
      </c>
      <c r="B9" s="5" t="s">
        <v>5</v>
      </c>
      <c r="C9" s="5" t="s">
        <v>11</v>
      </c>
      <c r="D9" s="5">
        <v>441</v>
      </c>
      <c r="E9" s="5">
        <v>44</v>
      </c>
      <c r="J9"/>
      <c r="P9" s="12" t="s">
        <v>17</v>
      </c>
      <c r="Q9" s="25">
        <v>1117</v>
      </c>
    </row>
    <row r="10" spans="1:17" x14ac:dyDescent="0.35">
      <c r="A10" s="4">
        <v>45368.210526315786</v>
      </c>
      <c r="B10" s="5" t="s">
        <v>6</v>
      </c>
      <c r="C10" s="5" t="s">
        <v>9</v>
      </c>
      <c r="D10" s="5">
        <v>76</v>
      </c>
      <c r="E10" s="5">
        <v>63</v>
      </c>
      <c r="J10"/>
      <c r="P10"/>
      <c r="Q10"/>
    </row>
    <row r="11" spans="1:17" x14ac:dyDescent="0.35">
      <c r="A11" s="4">
        <v>45377.736842105252</v>
      </c>
      <c r="B11" s="5" t="s">
        <v>5</v>
      </c>
      <c r="C11" s="5" t="s">
        <v>10</v>
      </c>
      <c r="D11" s="5">
        <v>441</v>
      </c>
      <c r="E11" s="5">
        <v>79</v>
      </c>
      <c r="J11"/>
    </row>
    <row r="12" spans="1:17" x14ac:dyDescent="0.35">
      <c r="A12" s="4">
        <v>45387.263157894733</v>
      </c>
      <c r="B12" s="5" t="s">
        <v>6</v>
      </c>
      <c r="C12" s="5" t="s">
        <v>9</v>
      </c>
      <c r="D12" s="5">
        <v>205</v>
      </c>
      <c r="E12" s="5">
        <v>23</v>
      </c>
      <c r="J12"/>
    </row>
    <row r="13" spans="1:17" x14ac:dyDescent="0.35">
      <c r="A13" s="4">
        <v>45396.789473684199</v>
      </c>
      <c r="B13" s="5" t="s">
        <v>5</v>
      </c>
      <c r="C13" s="5" t="s">
        <v>10</v>
      </c>
      <c r="D13" s="5">
        <v>483</v>
      </c>
      <c r="E13" s="5">
        <v>97</v>
      </c>
      <c r="H13"/>
      <c r="I13"/>
      <c r="J13"/>
    </row>
    <row r="14" spans="1:17" x14ac:dyDescent="0.35">
      <c r="A14" s="4">
        <v>45406.31578947368</v>
      </c>
      <c r="B14" s="5" t="s">
        <v>7</v>
      </c>
      <c r="C14" s="5" t="s">
        <v>9</v>
      </c>
      <c r="D14" s="5">
        <v>467</v>
      </c>
      <c r="E14" s="5">
        <v>97</v>
      </c>
      <c r="H14"/>
      <c r="I14"/>
      <c r="J14"/>
    </row>
    <row r="15" spans="1:17" x14ac:dyDescent="0.35">
      <c r="A15" s="4">
        <v>45415.842105263153</v>
      </c>
      <c r="B15" s="5" t="s">
        <v>5</v>
      </c>
      <c r="C15" s="5" t="s">
        <v>9</v>
      </c>
      <c r="D15" s="5">
        <v>380</v>
      </c>
      <c r="E15" s="5">
        <v>92</v>
      </c>
      <c r="H15"/>
      <c r="I15"/>
      <c r="J15"/>
    </row>
    <row r="16" spans="1:17" x14ac:dyDescent="0.35">
      <c r="A16" s="4">
        <v>45425.368421052633</v>
      </c>
      <c r="B16" s="5" t="s">
        <v>6</v>
      </c>
      <c r="C16" s="5" t="s">
        <v>10</v>
      </c>
      <c r="D16" s="5">
        <v>497</v>
      </c>
      <c r="E16" s="5">
        <v>71</v>
      </c>
      <c r="H16"/>
      <c r="I16"/>
      <c r="J16"/>
    </row>
    <row r="17" spans="1:10" x14ac:dyDescent="0.35">
      <c r="A17" s="4">
        <v>45434.894736842092</v>
      </c>
      <c r="B17" s="5" t="s">
        <v>6</v>
      </c>
      <c r="C17" s="5" t="s">
        <v>9</v>
      </c>
      <c r="D17" s="5">
        <v>409</v>
      </c>
      <c r="E17" s="5">
        <v>81</v>
      </c>
      <c r="H17"/>
      <c r="I17"/>
      <c r="J17"/>
    </row>
    <row r="18" spans="1:10" x14ac:dyDescent="0.35">
      <c r="A18" s="4">
        <v>45444.421052631573</v>
      </c>
      <c r="B18" s="5" t="s">
        <v>5</v>
      </c>
      <c r="C18" s="5" t="s">
        <v>10</v>
      </c>
      <c r="D18" s="5">
        <v>53</v>
      </c>
      <c r="E18" s="5">
        <v>45</v>
      </c>
      <c r="H18"/>
      <c r="I18"/>
      <c r="J18"/>
    </row>
    <row r="19" spans="1:10" x14ac:dyDescent="0.35">
      <c r="A19" s="4">
        <v>45453.947368421039</v>
      </c>
      <c r="B19" s="5" t="s">
        <v>5</v>
      </c>
      <c r="C19" s="5" t="s">
        <v>11</v>
      </c>
      <c r="D19" s="5">
        <v>398</v>
      </c>
      <c r="E19" s="5">
        <v>33</v>
      </c>
      <c r="H19"/>
      <c r="I19"/>
      <c r="J19"/>
    </row>
    <row r="20" spans="1:10" x14ac:dyDescent="0.35">
      <c r="A20" s="4">
        <v>45463.473684210519</v>
      </c>
      <c r="B20" s="5" t="s">
        <v>8</v>
      </c>
      <c r="C20" s="5" t="s">
        <v>10</v>
      </c>
      <c r="D20" s="5">
        <v>347</v>
      </c>
      <c r="E20" s="5">
        <v>35</v>
      </c>
      <c r="H20"/>
      <c r="I20"/>
      <c r="J20"/>
    </row>
    <row r="21" spans="1:10" x14ac:dyDescent="0.35">
      <c r="A21" s="4">
        <v>45473</v>
      </c>
      <c r="B21" s="5" t="s">
        <v>6</v>
      </c>
      <c r="C21" s="5" t="s">
        <v>11</v>
      </c>
      <c r="D21" s="5">
        <v>319</v>
      </c>
      <c r="E21" s="5">
        <v>45</v>
      </c>
      <c r="H21"/>
      <c r="I21"/>
      <c r="J21"/>
    </row>
    <row r="22" spans="1:10" x14ac:dyDescent="0.35">
      <c r="H22"/>
      <c r="I22"/>
      <c r="J22"/>
    </row>
    <row r="23" spans="1:10" x14ac:dyDescent="0.35">
      <c r="H23"/>
    </row>
    <row r="24" spans="1:10" x14ac:dyDescent="0.35">
      <c r="H24"/>
    </row>
    <row r="25" spans="1:10" x14ac:dyDescent="0.35">
      <c r="H25"/>
    </row>
    <row r="26" spans="1:10" x14ac:dyDescent="0.35">
      <c r="H26"/>
    </row>
  </sheetData>
  <mergeCells count="1">
    <mergeCell ref="H2:N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75DDD-1667-486E-844E-8AAA156EB098}">
  <sheetPr>
    <tabColor theme="0" tint="-0.14999847407452621"/>
  </sheetPr>
  <dimension ref="A1:N21"/>
  <sheetViews>
    <sheetView workbookViewId="0"/>
  </sheetViews>
  <sheetFormatPr defaultRowHeight="18" x14ac:dyDescent="0.35"/>
  <cols>
    <col min="1" max="1" width="25.21875" style="2" customWidth="1"/>
    <col min="2" max="2" width="12.5546875" style="2" customWidth="1"/>
    <col min="3" max="3" width="15.33203125" style="2" customWidth="1"/>
    <col min="4" max="4" width="11.44140625" style="2" customWidth="1"/>
    <col min="5" max="5" width="14" style="2" customWidth="1"/>
    <col min="6" max="7" width="8.88671875" style="2"/>
    <col min="8" max="8" width="15.88671875" style="2" customWidth="1"/>
    <col min="9" max="9" width="13.21875" style="2" customWidth="1"/>
    <col min="10" max="16384" width="8.88671875" style="2"/>
  </cols>
  <sheetData>
    <row r="1" spans="1:14" x14ac:dyDescent="0.35">
      <c r="A1" s="30" t="s">
        <v>0</v>
      </c>
      <c r="B1" s="49" t="s">
        <v>1</v>
      </c>
      <c r="C1" s="49" t="s">
        <v>2</v>
      </c>
      <c r="D1" s="49" t="s">
        <v>3</v>
      </c>
      <c r="E1" s="50" t="s">
        <v>4</v>
      </c>
    </row>
    <row r="2" spans="1:14" x14ac:dyDescent="0.35">
      <c r="A2" s="31">
        <v>45292</v>
      </c>
      <c r="B2" s="28" t="s">
        <v>5</v>
      </c>
      <c r="C2" s="28" t="s">
        <v>9</v>
      </c>
      <c r="D2" s="28">
        <v>456</v>
      </c>
      <c r="E2" s="27">
        <v>93</v>
      </c>
      <c r="G2" s="46" t="s">
        <v>50</v>
      </c>
      <c r="H2" s="51" t="s">
        <v>51</v>
      </c>
      <c r="I2" s="52"/>
      <c r="J2" s="52"/>
      <c r="K2" s="52"/>
      <c r="L2" s="52"/>
      <c r="M2" s="52"/>
      <c r="N2" s="52"/>
    </row>
    <row r="3" spans="1:14" x14ac:dyDescent="0.35">
      <c r="A3" s="31">
        <v>45301.526315789473</v>
      </c>
      <c r="B3" s="28" t="s">
        <v>6</v>
      </c>
      <c r="C3" s="28" t="s">
        <v>10</v>
      </c>
      <c r="D3" s="28">
        <v>348</v>
      </c>
      <c r="E3" s="27">
        <v>56</v>
      </c>
    </row>
    <row r="4" spans="1:14" x14ac:dyDescent="0.35">
      <c r="A4" s="31">
        <v>45311.052631578947</v>
      </c>
      <c r="B4" s="28" t="s">
        <v>6</v>
      </c>
      <c r="C4" s="28" t="s">
        <v>9</v>
      </c>
      <c r="D4" s="28">
        <v>247</v>
      </c>
      <c r="E4" s="27">
        <v>76</v>
      </c>
      <c r="H4" s="53" t="s">
        <v>60</v>
      </c>
      <c r="I4" s="53" t="s">
        <v>29</v>
      </c>
    </row>
    <row r="5" spans="1:14" x14ac:dyDescent="0.35">
      <c r="A5" s="31">
        <v>45320.578947368413</v>
      </c>
      <c r="B5" s="28" t="s">
        <v>5</v>
      </c>
      <c r="C5" s="28" t="s">
        <v>11</v>
      </c>
      <c r="D5" s="28">
        <v>230</v>
      </c>
      <c r="E5" s="27">
        <v>37</v>
      </c>
      <c r="H5" s="44" t="s">
        <v>11</v>
      </c>
      <c r="I5" s="43">
        <v>1805</v>
      </c>
    </row>
    <row r="6" spans="1:14" x14ac:dyDescent="0.35">
      <c r="A6" s="31">
        <v>45330.105263157893</v>
      </c>
      <c r="B6" s="28" t="s">
        <v>5</v>
      </c>
      <c r="C6" s="28" t="s">
        <v>9</v>
      </c>
      <c r="D6" s="28">
        <v>281</v>
      </c>
      <c r="E6" s="27">
        <v>50</v>
      </c>
      <c r="H6" s="44" t="s">
        <v>9</v>
      </c>
      <c r="I6" s="43">
        <v>2521</v>
      </c>
    </row>
    <row r="7" spans="1:14" x14ac:dyDescent="0.35">
      <c r="A7" s="31">
        <v>45339.631578947359</v>
      </c>
      <c r="B7" s="28" t="s">
        <v>5</v>
      </c>
      <c r="C7" s="28" t="s">
        <v>10</v>
      </c>
      <c r="D7" s="28">
        <v>334</v>
      </c>
      <c r="E7" s="27">
        <v>52</v>
      </c>
      <c r="H7" s="44" t="s">
        <v>10</v>
      </c>
      <c r="I7" s="43">
        <v>2503</v>
      </c>
    </row>
    <row r="8" spans="1:14" x14ac:dyDescent="0.35">
      <c r="A8" s="31">
        <v>45349.15789473684</v>
      </c>
      <c r="B8" s="28" t="s">
        <v>6</v>
      </c>
      <c r="C8" s="28" t="s">
        <v>11</v>
      </c>
      <c r="D8" s="28">
        <v>417</v>
      </c>
      <c r="E8" s="27">
        <v>29</v>
      </c>
      <c r="H8" s="53" t="s">
        <v>13</v>
      </c>
      <c r="I8" s="54">
        <v>6829</v>
      </c>
    </row>
    <row r="9" spans="1:14" x14ac:dyDescent="0.35">
      <c r="A9" s="31">
        <v>45358.684210526313</v>
      </c>
      <c r="B9" s="28" t="s">
        <v>5</v>
      </c>
      <c r="C9" s="28" t="s">
        <v>11</v>
      </c>
      <c r="D9" s="28">
        <v>441</v>
      </c>
      <c r="E9" s="27">
        <v>44</v>
      </c>
    </row>
    <row r="10" spans="1:14" x14ac:dyDescent="0.35">
      <c r="A10" s="31">
        <v>45368.210526315786</v>
      </c>
      <c r="B10" s="28" t="s">
        <v>6</v>
      </c>
      <c r="C10" s="28" t="s">
        <v>9</v>
      </c>
      <c r="D10" s="28">
        <v>76</v>
      </c>
      <c r="E10" s="27">
        <v>63</v>
      </c>
      <c r="G10" s="16" t="s">
        <v>22</v>
      </c>
      <c r="H10" s="34" t="s">
        <v>61</v>
      </c>
      <c r="I10" s="35"/>
      <c r="J10" s="35"/>
      <c r="K10" s="35"/>
      <c r="L10" s="35"/>
      <c r="M10" s="35"/>
      <c r="N10" s="36"/>
    </row>
    <row r="11" spans="1:14" x14ac:dyDescent="0.35">
      <c r="A11" s="31">
        <v>45377.736842105252</v>
      </c>
      <c r="B11" s="28" t="s">
        <v>5</v>
      </c>
      <c r="C11" s="28" t="s">
        <v>10</v>
      </c>
      <c r="D11" s="28">
        <v>441</v>
      </c>
      <c r="E11" s="27">
        <v>79</v>
      </c>
      <c r="H11" s="37" t="s">
        <v>62</v>
      </c>
      <c r="I11" s="38"/>
      <c r="J11" s="38"/>
      <c r="K11" s="38"/>
      <c r="L11" s="38"/>
      <c r="M11" s="38"/>
      <c r="N11" s="39"/>
    </row>
    <row r="12" spans="1:14" x14ac:dyDescent="0.35">
      <c r="A12" s="31">
        <v>45387.263157894733</v>
      </c>
      <c r="B12" s="28" t="s">
        <v>6</v>
      </c>
      <c r="C12" s="28" t="s">
        <v>9</v>
      </c>
      <c r="D12" s="28">
        <v>205</v>
      </c>
      <c r="E12" s="27">
        <v>23</v>
      </c>
      <c r="H12" s="37" t="s">
        <v>63</v>
      </c>
      <c r="I12" s="38"/>
      <c r="J12" s="38"/>
      <c r="K12" s="38"/>
      <c r="L12" s="38"/>
      <c r="M12" s="38"/>
      <c r="N12" s="39"/>
    </row>
    <row r="13" spans="1:14" x14ac:dyDescent="0.35">
      <c r="A13" s="31">
        <v>45396.789473684199</v>
      </c>
      <c r="B13" s="28" t="s">
        <v>5</v>
      </c>
      <c r="C13" s="28" t="s">
        <v>10</v>
      </c>
      <c r="D13" s="28">
        <v>483</v>
      </c>
      <c r="E13" s="27">
        <v>97</v>
      </c>
      <c r="H13" s="37" t="s">
        <v>65</v>
      </c>
      <c r="I13" s="38"/>
      <c r="J13" s="38"/>
      <c r="K13" s="38"/>
      <c r="L13" s="38"/>
      <c r="M13" s="38"/>
      <c r="N13" s="39"/>
    </row>
    <row r="14" spans="1:14" x14ac:dyDescent="0.35">
      <c r="A14" s="31">
        <v>45406.31578947368</v>
      </c>
      <c r="B14" s="28" t="s">
        <v>7</v>
      </c>
      <c r="C14" s="28" t="s">
        <v>9</v>
      </c>
      <c r="D14" s="28">
        <v>467</v>
      </c>
      <c r="E14" s="27">
        <v>97</v>
      </c>
      <c r="H14" s="40" t="s">
        <v>64</v>
      </c>
      <c r="I14" s="41"/>
      <c r="J14" s="41"/>
      <c r="K14" s="41"/>
      <c r="L14" s="41"/>
      <c r="M14" s="41"/>
      <c r="N14" s="42"/>
    </row>
    <row r="15" spans="1:14" x14ac:dyDescent="0.35">
      <c r="A15" s="31">
        <v>45415.842105263153</v>
      </c>
      <c r="B15" s="28" t="s">
        <v>5</v>
      </c>
      <c r="C15" s="28" t="s">
        <v>9</v>
      </c>
      <c r="D15" s="28">
        <v>380</v>
      </c>
      <c r="E15" s="27">
        <v>92</v>
      </c>
      <c r="H15" s="33"/>
      <c r="I15" s="33"/>
      <c r="J15" s="33"/>
      <c r="K15" s="33"/>
      <c r="L15" s="33"/>
      <c r="M15" s="33"/>
      <c r="N15" s="33"/>
    </row>
    <row r="16" spans="1:14" x14ac:dyDescent="0.35">
      <c r="A16" s="31">
        <v>45425.368421052633</v>
      </c>
      <c r="B16" s="28" t="s">
        <v>6</v>
      </c>
      <c r="C16" s="28" t="s">
        <v>10</v>
      </c>
      <c r="D16" s="28">
        <v>497</v>
      </c>
      <c r="E16" s="27">
        <v>71</v>
      </c>
      <c r="H16" s="33"/>
      <c r="I16" s="33"/>
      <c r="J16" s="33"/>
      <c r="K16" s="33"/>
      <c r="L16" s="33"/>
      <c r="M16" s="33"/>
      <c r="N16" s="33"/>
    </row>
    <row r="17" spans="1:5" x14ac:dyDescent="0.35">
      <c r="A17" s="31">
        <v>45434.894736842092</v>
      </c>
      <c r="B17" s="28" t="s">
        <v>6</v>
      </c>
      <c r="C17" s="28" t="s">
        <v>9</v>
      </c>
      <c r="D17" s="28">
        <v>409</v>
      </c>
      <c r="E17" s="27">
        <v>81</v>
      </c>
    </row>
    <row r="18" spans="1:5" x14ac:dyDescent="0.35">
      <c r="A18" s="31">
        <v>45444.421052631573</v>
      </c>
      <c r="B18" s="28" t="s">
        <v>5</v>
      </c>
      <c r="C18" s="28" t="s">
        <v>10</v>
      </c>
      <c r="D18" s="28">
        <v>53</v>
      </c>
      <c r="E18" s="27">
        <v>45</v>
      </c>
    </row>
    <row r="19" spans="1:5" x14ac:dyDescent="0.35">
      <c r="A19" s="31">
        <v>45453.947368421039</v>
      </c>
      <c r="B19" s="28" t="s">
        <v>5</v>
      </c>
      <c r="C19" s="28" t="s">
        <v>11</v>
      </c>
      <c r="D19" s="28">
        <v>398</v>
      </c>
      <c r="E19" s="27">
        <v>33</v>
      </c>
    </row>
    <row r="20" spans="1:5" x14ac:dyDescent="0.35">
      <c r="A20" s="31">
        <v>45463.473684210519</v>
      </c>
      <c r="B20" s="28" t="s">
        <v>8</v>
      </c>
      <c r="C20" s="28" t="s">
        <v>10</v>
      </c>
      <c r="D20" s="28">
        <v>347</v>
      </c>
      <c r="E20" s="27">
        <v>35</v>
      </c>
    </row>
    <row r="21" spans="1:5" x14ac:dyDescent="0.35">
      <c r="A21" s="32">
        <v>45473</v>
      </c>
      <c r="B21" s="26" t="s">
        <v>6</v>
      </c>
      <c r="C21" s="26" t="s">
        <v>11</v>
      </c>
      <c r="D21" s="26">
        <v>319</v>
      </c>
      <c r="E21" s="5">
        <v>45</v>
      </c>
    </row>
  </sheetData>
  <mergeCells count="8">
    <mergeCell ref="H2:N2"/>
    <mergeCell ref="H10:N10"/>
    <mergeCell ref="H11:N11"/>
    <mergeCell ref="H12:N12"/>
    <mergeCell ref="H13:N13"/>
    <mergeCell ref="H14:N14"/>
    <mergeCell ref="H15:N15"/>
    <mergeCell ref="H16:N1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D8FEF-D672-4B7C-A3A4-585D12642CD4}">
  <sheetPr>
    <tabColor theme="1" tint="0.249977111117893"/>
  </sheetPr>
  <dimension ref="A1:E21"/>
  <sheetViews>
    <sheetView workbookViewId="0"/>
  </sheetViews>
  <sheetFormatPr defaultRowHeight="18" x14ac:dyDescent="0.35"/>
  <cols>
    <col min="1" max="1" width="11" style="2" customWidth="1"/>
    <col min="2" max="2" width="12" style="2" customWidth="1"/>
    <col min="3" max="3" width="13.33203125" style="2" customWidth="1"/>
    <col min="4" max="4" width="11.109375" style="2" customWidth="1"/>
    <col min="5" max="5" width="83.77734375" style="2" customWidth="1"/>
    <col min="6" max="7" width="8.88671875" style="2"/>
    <col min="8" max="8" width="10.44140625" style="2" customWidth="1"/>
    <col min="9" max="16384" width="8.88671875" style="2"/>
  </cols>
  <sheetData>
    <row r="1" spans="1:5" x14ac:dyDescent="0.35">
      <c r="A1"/>
      <c r="B1"/>
      <c r="C1"/>
      <c r="D1"/>
      <c r="E1"/>
    </row>
    <row r="2" spans="1:5" x14ac:dyDescent="0.35">
      <c r="A2"/>
      <c r="B2"/>
      <c r="C2"/>
      <c r="D2" s="46" t="s">
        <v>52</v>
      </c>
      <c r="E2" s="46" t="s">
        <v>53</v>
      </c>
    </row>
    <row r="3" spans="1:5" x14ac:dyDescent="0.35">
      <c r="A3"/>
      <c r="B3"/>
      <c r="C3"/>
      <c r="D3" s="16" t="s">
        <v>22</v>
      </c>
      <c r="E3" s="23" t="s">
        <v>54</v>
      </c>
    </row>
    <row r="4" spans="1:5" x14ac:dyDescent="0.35">
      <c r="A4"/>
      <c r="B4"/>
      <c r="C4"/>
      <c r="E4" s="19" t="s">
        <v>55</v>
      </c>
    </row>
    <row r="5" spans="1:5" x14ac:dyDescent="0.35">
      <c r="A5"/>
      <c r="B5"/>
      <c r="C5"/>
      <c r="E5" s="19" t="s">
        <v>56</v>
      </c>
    </row>
    <row r="6" spans="1:5" x14ac:dyDescent="0.35">
      <c r="A6"/>
      <c r="B6"/>
      <c r="C6"/>
      <c r="E6" s="19" t="s">
        <v>57</v>
      </c>
    </row>
    <row r="7" spans="1:5" x14ac:dyDescent="0.35">
      <c r="A7"/>
      <c r="B7"/>
      <c r="C7"/>
      <c r="E7" s="19" t="s">
        <v>59</v>
      </c>
    </row>
    <row r="8" spans="1:5" x14ac:dyDescent="0.35">
      <c r="A8"/>
      <c r="B8"/>
      <c r="C8"/>
      <c r="E8" s="21" t="s">
        <v>58</v>
      </c>
    </row>
    <row r="9" spans="1:5" x14ac:dyDescent="0.35">
      <c r="A9"/>
      <c r="B9"/>
      <c r="C9"/>
      <c r="D9"/>
      <c r="E9"/>
    </row>
    <row r="10" spans="1:5" x14ac:dyDescent="0.35">
      <c r="A10"/>
      <c r="B10"/>
      <c r="C10"/>
      <c r="D10"/>
      <c r="E10"/>
    </row>
    <row r="11" spans="1:5" x14ac:dyDescent="0.35">
      <c r="A11"/>
      <c r="B11"/>
      <c r="C11"/>
      <c r="D11"/>
      <c r="E11"/>
    </row>
    <row r="12" spans="1:5" x14ac:dyDescent="0.35">
      <c r="A12"/>
      <c r="B12"/>
      <c r="C12"/>
      <c r="D12"/>
      <c r="E12"/>
    </row>
    <row r="13" spans="1:5" x14ac:dyDescent="0.35">
      <c r="A13"/>
      <c r="B13"/>
      <c r="C13"/>
      <c r="D13"/>
      <c r="E13"/>
    </row>
    <row r="14" spans="1:5" x14ac:dyDescent="0.35">
      <c r="A14"/>
      <c r="B14"/>
      <c r="C14"/>
      <c r="D14"/>
      <c r="E14"/>
    </row>
    <row r="15" spans="1:5" x14ac:dyDescent="0.35">
      <c r="A15"/>
      <c r="B15"/>
      <c r="C15"/>
      <c r="D15"/>
      <c r="E15"/>
    </row>
    <row r="16" spans="1:5" x14ac:dyDescent="0.35">
      <c r="A16"/>
      <c r="B16"/>
      <c r="C16"/>
      <c r="D16"/>
      <c r="E16"/>
    </row>
    <row r="17" spans="1:5" x14ac:dyDescent="0.35">
      <c r="A17"/>
      <c r="B17"/>
      <c r="C17"/>
      <c r="D17"/>
      <c r="E17"/>
    </row>
    <row r="18" spans="1:5" x14ac:dyDescent="0.35">
      <c r="A18"/>
      <c r="B18"/>
      <c r="C18"/>
      <c r="D18"/>
      <c r="E18"/>
    </row>
    <row r="19" spans="1:5" x14ac:dyDescent="0.35">
      <c r="A19"/>
      <c r="B19"/>
      <c r="C19"/>
      <c r="D19"/>
      <c r="E19"/>
    </row>
    <row r="20" spans="1:5" x14ac:dyDescent="0.35">
      <c r="A20"/>
      <c r="B20"/>
      <c r="C20"/>
      <c r="D20"/>
      <c r="E20"/>
    </row>
    <row r="21" spans="1:5" x14ac:dyDescent="0.35">
      <c r="A21"/>
      <c r="B21"/>
      <c r="C21"/>
      <c r="D21"/>
      <c r="E2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B08A-8F4C-4641-9037-5381AD2FDDDA}">
  <sheetPr>
    <tabColor theme="0" tint="-0.14999847407452621"/>
  </sheetPr>
  <dimension ref="A1:AE27"/>
  <sheetViews>
    <sheetView workbookViewId="0"/>
  </sheetViews>
  <sheetFormatPr defaultRowHeight="18" x14ac:dyDescent="0.35"/>
  <cols>
    <col min="1" max="1" width="25.33203125" style="2" customWidth="1"/>
    <col min="2" max="2" width="10.88671875" style="2" customWidth="1"/>
    <col min="3" max="3" width="12.44140625" style="2" customWidth="1"/>
    <col min="4" max="4" width="10.33203125" style="2" customWidth="1"/>
    <col min="5" max="5" width="11.44140625" style="2" customWidth="1"/>
    <col min="6" max="6" width="8.88671875" style="2"/>
    <col min="7" max="7" width="13.44140625" style="2" bestFit="1" customWidth="1"/>
    <col min="8" max="8" width="12.33203125" style="2" bestFit="1" customWidth="1"/>
    <col min="9" max="9" width="9.33203125" style="2" customWidth="1"/>
    <col min="10" max="16" width="8.88671875" style="2"/>
    <col min="17" max="17" width="8.77734375" style="2" customWidth="1"/>
    <col min="18" max="18" width="13.44140625" style="2" bestFit="1" customWidth="1"/>
    <col min="19" max="19" width="12.33203125" style="2" bestFit="1" customWidth="1"/>
    <col min="20" max="20" width="6" style="2" customWidth="1"/>
    <col min="21" max="24" width="8.88671875" style="2"/>
    <col min="25" max="25" width="14.77734375" style="2" customWidth="1"/>
    <col min="26" max="26" width="14.6640625" style="2" customWidth="1"/>
    <col min="27" max="16384" width="8.88671875" style="2"/>
  </cols>
  <sheetData>
    <row r="1" spans="1:31" x14ac:dyDescent="0.35">
      <c r="A1" s="13" t="s">
        <v>0</v>
      </c>
      <c r="B1" s="46" t="s">
        <v>1</v>
      </c>
      <c r="C1" s="46" t="s">
        <v>2</v>
      </c>
      <c r="D1" s="46" t="s">
        <v>3</v>
      </c>
      <c r="E1" s="46" t="s">
        <v>4</v>
      </c>
    </row>
    <row r="2" spans="1:31" x14ac:dyDescent="0.35">
      <c r="A2" s="4">
        <v>45292</v>
      </c>
      <c r="B2" s="5" t="s">
        <v>5</v>
      </c>
      <c r="C2" s="5" t="s">
        <v>9</v>
      </c>
      <c r="D2" s="5">
        <v>456</v>
      </c>
      <c r="E2" s="5">
        <v>93</v>
      </c>
      <c r="G2" s="46" t="s">
        <v>66</v>
      </c>
      <c r="H2" s="57" t="s">
        <v>67</v>
      </c>
      <c r="I2" s="57"/>
      <c r="J2" s="57"/>
      <c r="K2" s="57"/>
      <c r="L2" s="57"/>
      <c r="M2" s="57"/>
    </row>
    <row r="3" spans="1:31" x14ac:dyDescent="0.35">
      <c r="A3" s="4">
        <v>45301.526315789473</v>
      </c>
      <c r="B3" s="5" t="s">
        <v>6</v>
      </c>
      <c r="C3" s="5" t="s">
        <v>10</v>
      </c>
      <c r="D3" s="5">
        <v>348</v>
      </c>
      <c r="E3" s="5">
        <v>56</v>
      </c>
    </row>
    <row r="4" spans="1:31" x14ac:dyDescent="0.35">
      <c r="A4" s="4">
        <v>45311.052631578947</v>
      </c>
      <c r="B4" s="5" t="s">
        <v>6</v>
      </c>
      <c r="C4" s="5" t="s">
        <v>9</v>
      </c>
      <c r="D4" s="5">
        <v>247</v>
      </c>
      <c r="E4" s="5">
        <v>76</v>
      </c>
      <c r="H4" s="57" t="s">
        <v>68</v>
      </c>
      <c r="I4" s="57"/>
      <c r="J4" s="57"/>
      <c r="K4" s="57"/>
      <c r="L4" s="57"/>
      <c r="M4" s="57"/>
      <c r="R4" s="58" t="s">
        <v>69</v>
      </c>
      <c r="S4" s="59"/>
      <c r="T4" s="59"/>
      <c r="U4" s="59"/>
      <c r="V4" s="59"/>
      <c r="W4" s="60"/>
      <c r="Y4" s="51" t="s">
        <v>70</v>
      </c>
      <c r="Z4" s="52"/>
      <c r="AA4" s="52"/>
      <c r="AB4" s="52"/>
      <c r="AC4" s="52"/>
      <c r="AD4" s="52"/>
      <c r="AE4" s="52"/>
    </row>
    <row r="5" spans="1:31" x14ac:dyDescent="0.35">
      <c r="A5" s="4">
        <v>45320.578947368413</v>
      </c>
      <c r="B5" s="5" t="s">
        <v>5</v>
      </c>
      <c r="C5" s="5" t="s">
        <v>11</v>
      </c>
      <c r="D5" s="5">
        <v>230</v>
      </c>
      <c r="E5" s="5">
        <v>37</v>
      </c>
      <c r="T5"/>
    </row>
    <row r="6" spans="1:31" x14ac:dyDescent="0.35">
      <c r="A6" s="4">
        <v>45330.105263157893</v>
      </c>
      <c r="B6" s="5" t="s">
        <v>5</v>
      </c>
      <c r="C6" s="5" t="s">
        <v>9</v>
      </c>
      <c r="D6" s="5">
        <v>281</v>
      </c>
      <c r="E6" s="5">
        <v>50</v>
      </c>
      <c r="G6" s="11" t="s">
        <v>30</v>
      </c>
      <c r="H6" s="24" t="s">
        <v>29</v>
      </c>
      <c r="R6" s="11" t="s">
        <v>60</v>
      </c>
      <c r="S6" s="24" t="s">
        <v>29</v>
      </c>
      <c r="T6"/>
      <c r="Y6"/>
      <c r="Z6"/>
      <c r="AA6"/>
    </row>
    <row r="7" spans="1:31" x14ac:dyDescent="0.35">
      <c r="A7" s="4">
        <v>45339.631578947359</v>
      </c>
      <c r="B7" s="5" t="s">
        <v>5</v>
      </c>
      <c r="C7" s="5" t="s">
        <v>10</v>
      </c>
      <c r="D7" s="5">
        <v>334</v>
      </c>
      <c r="E7" s="5">
        <v>52</v>
      </c>
      <c r="G7" s="12" t="s">
        <v>7</v>
      </c>
      <c r="H7" s="25">
        <v>467</v>
      </c>
      <c r="R7" s="12" t="s">
        <v>11</v>
      </c>
      <c r="S7" s="25">
        <v>1805</v>
      </c>
      <c r="T7"/>
      <c r="Y7"/>
      <c r="Z7"/>
      <c r="AA7"/>
    </row>
    <row r="8" spans="1:31" x14ac:dyDescent="0.35">
      <c r="A8" s="4">
        <v>45349.15789473684</v>
      </c>
      <c r="B8" s="5" t="s">
        <v>6</v>
      </c>
      <c r="C8" s="5" t="s">
        <v>11</v>
      </c>
      <c r="D8" s="5">
        <v>417</v>
      </c>
      <c r="E8" s="5">
        <v>29</v>
      </c>
      <c r="G8" s="12" t="s">
        <v>5</v>
      </c>
      <c r="H8" s="25">
        <v>3497</v>
      </c>
      <c r="J8"/>
      <c r="R8" s="12" t="s">
        <v>9</v>
      </c>
      <c r="S8" s="25">
        <v>2521</v>
      </c>
      <c r="T8"/>
      <c r="Y8"/>
      <c r="Z8"/>
      <c r="AA8"/>
    </row>
    <row r="9" spans="1:31" x14ac:dyDescent="0.35">
      <c r="A9" s="4">
        <v>45358.684210526313</v>
      </c>
      <c r="B9" s="5" t="s">
        <v>5</v>
      </c>
      <c r="C9" s="5" t="s">
        <v>11</v>
      </c>
      <c r="D9" s="5">
        <v>441</v>
      </c>
      <c r="E9" s="5">
        <v>44</v>
      </c>
      <c r="G9" s="12" t="s">
        <v>6</v>
      </c>
      <c r="H9" s="25">
        <v>2518</v>
      </c>
      <c r="J9"/>
      <c r="R9" s="12" t="s">
        <v>10</v>
      </c>
      <c r="S9" s="25">
        <v>2503</v>
      </c>
      <c r="T9"/>
      <c r="Y9"/>
      <c r="Z9"/>
      <c r="AA9"/>
    </row>
    <row r="10" spans="1:31" x14ac:dyDescent="0.35">
      <c r="A10" s="4">
        <v>45368.210526315786</v>
      </c>
      <c r="B10" s="5" t="s">
        <v>6</v>
      </c>
      <c r="C10" s="5" t="s">
        <v>9</v>
      </c>
      <c r="D10" s="5">
        <v>76</v>
      </c>
      <c r="E10" s="5">
        <v>63</v>
      </c>
      <c r="G10" s="12" t="s">
        <v>8</v>
      </c>
      <c r="H10" s="25">
        <v>347</v>
      </c>
      <c r="J10"/>
      <c r="R10" s="12" t="s">
        <v>13</v>
      </c>
      <c r="S10" s="25">
        <v>6829</v>
      </c>
      <c r="T10"/>
      <c r="Y10"/>
      <c r="Z10"/>
      <c r="AA10"/>
    </row>
    <row r="11" spans="1:31" x14ac:dyDescent="0.35">
      <c r="A11" s="4">
        <v>45377.736842105252</v>
      </c>
      <c r="B11" s="5" t="s">
        <v>5</v>
      </c>
      <c r="C11" s="5" t="s">
        <v>10</v>
      </c>
      <c r="D11" s="5">
        <v>441</v>
      </c>
      <c r="E11" s="5">
        <v>79</v>
      </c>
      <c r="G11" s="12" t="s">
        <v>13</v>
      </c>
      <c r="H11" s="25">
        <v>6829</v>
      </c>
      <c r="J11"/>
      <c r="R11"/>
      <c r="S11"/>
      <c r="T11"/>
      <c r="Y11"/>
      <c r="Z11"/>
      <c r="AA11"/>
    </row>
    <row r="12" spans="1:31" x14ac:dyDescent="0.35">
      <c r="A12" s="4">
        <v>45387.263157894733</v>
      </c>
      <c r="B12" s="5" t="s">
        <v>6</v>
      </c>
      <c r="C12" s="5" t="s">
        <v>9</v>
      </c>
      <c r="D12" s="5">
        <v>205</v>
      </c>
      <c r="E12" s="5">
        <v>23</v>
      </c>
      <c r="J12"/>
      <c r="R12"/>
      <c r="S12"/>
      <c r="T12"/>
      <c r="Y12"/>
      <c r="Z12"/>
      <c r="AA12"/>
    </row>
    <row r="13" spans="1:31" x14ac:dyDescent="0.35">
      <c r="A13" s="4">
        <v>45396.789473684199</v>
      </c>
      <c r="B13" s="5" t="s">
        <v>5</v>
      </c>
      <c r="C13" s="5" t="s">
        <v>10</v>
      </c>
      <c r="D13" s="5">
        <v>483</v>
      </c>
      <c r="E13" s="5">
        <v>97</v>
      </c>
      <c r="J13"/>
      <c r="R13"/>
      <c r="S13"/>
      <c r="T13"/>
      <c r="Y13"/>
      <c r="Z13"/>
      <c r="AA13"/>
    </row>
    <row r="14" spans="1:31" x14ac:dyDescent="0.35">
      <c r="A14" s="4">
        <v>45406.31578947368</v>
      </c>
      <c r="B14" s="5" t="s">
        <v>7</v>
      </c>
      <c r="C14" s="5" t="s">
        <v>9</v>
      </c>
      <c r="D14" s="5">
        <v>467</v>
      </c>
      <c r="E14" s="5">
        <v>97</v>
      </c>
      <c r="H14"/>
      <c r="I14"/>
      <c r="J14"/>
      <c r="R14"/>
      <c r="S14"/>
      <c r="T14"/>
      <c r="Y14"/>
      <c r="Z14"/>
      <c r="AA14"/>
    </row>
    <row r="15" spans="1:31" x14ac:dyDescent="0.35">
      <c r="A15" s="4">
        <v>45415.842105263153</v>
      </c>
      <c r="B15" s="5" t="s">
        <v>5</v>
      </c>
      <c r="C15" s="5" t="s">
        <v>9</v>
      </c>
      <c r="D15" s="5">
        <v>380</v>
      </c>
      <c r="E15" s="5">
        <v>92</v>
      </c>
      <c r="H15"/>
      <c r="I15"/>
      <c r="J15"/>
      <c r="R15"/>
      <c r="S15"/>
      <c r="T15"/>
      <c r="Y15"/>
      <c r="Z15"/>
      <c r="AA15"/>
    </row>
    <row r="16" spans="1:31" x14ac:dyDescent="0.35">
      <c r="A16" s="4">
        <v>45425.368421052633</v>
      </c>
      <c r="B16" s="5" t="s">
        <v>6</v>
      </c>
      <c r="C16" s="5" t="s">
        <v>10</v>
      </c>
      <c r="D16" s="5">
        <v>497</v>
      </c>
      <c r="E16" s="5">
        <v>71</v>
      </c>
      <c r="H16"/>
      <c r="I16"/>
      <c r="J16"/>
      <c r="R16"/>
      <c r="S16"/>
      <c r="T16"/>
      <c r="Y16"/>
      <c r="Z16"/>
      <c r="AA16"/>
    </row>
    <row r="17" spans="1:27" x14ac:dyDescent="0.35">
      <c r="A17" s="4">
        <v>45434.894736842092</v>
      </c>
      <c r="B17" s="5" t="s">
        <v>6</v>
      </c>
      <c r="C17" s="5" t="s">
        <v>9</v>
      </c>
      <c r="D17" s="5">
        <v>409</v>
      </c>
      <c r="E17" s="5">
        <v>81</v>
      </c>
      <c r="H17"/>
      <c r="I17"/>
      <c r="J17"/>
      <c r="R17"/>
      <c r="S17"/>
      <c r="T17"/>
      <c r="Y17"/>
      <c r="Z17"/>
      <c r="AA17"/>
    </row>
    <row r="18" spans="1:27" x14ac:dyDescent="0.35">
      <c r="A18" s="4">
        <v>45444.421052631573</v>
      </c>
      <c r="B18" s="5" t="s">
        <v>5</v>
      </c>
      <c r="C18" s="5" t="s">
        <v>10</v>
      </c>
      <c r="D18" s="5">
        <v>53</v>
      </c>
      <c r="E18" s="5">
        <v>45</v>
      </c>
      <c r="H18"/>
      <c r="I18"/>
      <c r="J18"/>
      <c r="R18"/>
      <c r="S18"/>
      <c r="T18"/>
      <c r="Y18"/>
      <c r="Z18"/>
      <c r="AA18"/>
    </row>
    <row r="19" spans="1:27" x14ac:dyDescent="0.35">
      <c r="A19" s="4">
        <v>45453.947368421039</v>
      </c>
      <c r="B19" s="5" t="s">
        <v>5</v>
      </c>
      <c r="C19" s="5" t="s">
        <v>11</v>
      </c>
      <c r="D19" s="5">
        <v>398</v>
      </c>
      <c r="E19" s="5">
        <v>33</v>
      </c>
      <c r="H19"/>
      <c r="I19"/>
      <c r="J19"/>
      <c r="R19"/>
      <c r="S19"/>
      <c r="T19"/>
      <c r="Y19"/>
      <c r="Z19"/>
      <c r="AA19"/>
    </row>
    <row r="20" spans="1:27" x14ac:dyDescent="0.35">
      <c r="A20" s="4">
        <v>45463.473684210519</v>
      </c>
      <c r="B20" s="5" t="s">
        <v>8</v>
      </c>
      <c r="C20" s="5" t="s">
        <v>10</v>
      </c>
      <c r="D20" s="5">
        <v>347</v>
      </c>
      <c r="E20" s="5">
        <v>35</v>
      </c>
      <c r="H20"/>
      <c r="I20"/>
      <c r="J20"/>
      <c r="R20"/>
      <c r="S20"/>
      <c r="T20"/>
      <c r="Y20"/>
      <c r="Z20"/>
      <c r="AA20"/>
    </row>
    <row r="21" spans="1:27" x14ac:dyDescent="0.35">
      <c r="A21" s="4">
        <v>45473</v>
      </c>
      <c r="B21" s="5" t="s">
        <v>6</v>
      </c>
      <c r="C21" s="5" t="s">
        <v>11</v>
      </c>
      <c r="D21" s="5">
        <v>319</v>
      </c>
      <c r="E21" s="5">
        <v>45</v>
      </c>
      <c r="H21"/>
      <c r="I21"/>
      <c r="J21"/>
      <c r="R21"/>
      <c r="S21"/>
      <c r="T21"/>
      <c r="Y21"/>
      <c r="Z21"/>
      <c r="AA21"/>
    </row>
    <row r="22" spans="1:27" x14ac:dyDescent="0.35">
      <c r="H22"/>
      <c r="I22"/>
      <c r="J22"/>
      <c r="R22"/>
      <c r="S22"/>
      <c r="T22"/>
      <c r="Y22"/>
      <c r="Z22"/>
      <c r="AA22"/>
    </row>
    <row r="23" spans="1:27" x14ac:dyDescent="0.35">
      <c r="H23"/>
      <c r="I23"/>
      <c r="J23"/>
      <c r="Y23"/>
      <c r="Z23"/>
      <c r="AA23"/>
    </row>
    <row r="24" spans="1:27" x14ac:dyDescent="0.35">
      <c r="H24"/>
      <c r="I24"/>
      <c r="J24"/>
      <c r="Y24"/>
    </row>
    <row r="25" spans="1:27" x14ac:dyDescent="0.35">
      <c r="H25"/>
      <c r="I25"/>
      <c r="J25"/>
      <c r="Y25"/>
    </row>
    <row r="26" spans="1:27" x14ac:dyDescent="0.35">
      <c r="Y26"/>
    </row>
    <row r="27" spans="1:27" x14ac:dyDescent="0.35">
      <c r="Y27"/>
    </row>
  </sheetData>
  <mergeCells count="4">
    <mergeCell ref="H2:M2"/>
    <mergeCell ref="H4:M4"/>
    <mergeCell ref="R4:W4"/>
    <mergeCell ref="Y4:AE4"/>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14C68-72C4-466C-9B65-FC878B4E4838}">
  <sheetPr>
    <tabColor theme="1" tint="0.249977111117893"/>
  </sheetPr>
  <dimension ref="A1:Q21"/>
  <sheetViews>
    <sheetView workbookViewId="0"/>
  </sheetViews>
  <sheetFormatPr defaultRowHeight="18" x14ac:dyDescent="0.35"/>
  <cols>
    <col min="1" max="1" width="25" style="2" customWidth="1"/>
    <col min="2" max="2" width="11.21875" style="2" customWidth="1"/>
    <col min="3" max="3" width="12.77734375" style="2" customWidth="1"/>
    <col min="4" max="4" width="10.33203125" style="2" customWidth="1"/>
    <col min="5" max="5" width="11.21875" style="2" customWidth="1"/>
    <col min="6" max="7" width="8.88671875" style="2"/>
    <col min="8" max="8" width="8.5546875" style="2" customWidth="1"/>
    <col min="9" max="9" width="8.44140625" style="2" customWidth="1"/>
    <col min="10" max="10" width="22.77734375" style="2" customWidth="1"/>
    <col min="11" max="11" width="14.88671875" style="2" customWidth="1"/>
    <col min="12" max="14" width="8.88671875" style="2"/>
    <col min="15" max="15" width="15.33203125" style="2" customWidth="1"/>
    <col min="16" max="16384" width="8.88671875" style="2"/>
  </cols>
  <sheetData>
    <row r="1" spans="1:17" x14ac:dyDescent="0.35">
      <c r="A1" s="13" t="s">
        <v>0</v>
      </c>
      <c r="B1" s="46" t="s">
        <v>1</v>
      </c>
      <c r="C1" s="46" t="s">
        <v>2</v>
      </c>
      <c r="D1" s="46" t="s">
        <v>3</v>
      </c>
      <c r="E1" s="46" t="s">
        <v>4</v>
      </c>
    </row>
    <row r="2" spans="1:17" x14ac:dyDescent="0.35">
      <c r="A2" s="4">
        <v>45292</v>
      </c>
      <c r="B2" s="5" t="s">
        <v>5</v>
      </c>
      <c r="C2" s="5" t="s">
        <v>9</v>
      </c>
      <c r="D2" s="5">
        <v>456</v>
      </c>
      <c r="E2" s="5">
        <v>93</v>
      </c>
      <c r="G2" s="46" t="s">
        <v>71</v>
      </c>
      <c r="H2" s="58" t="s">
        <v>72</v>
      </c>
      <c r="I2" s="59"/>
      <c r="J2" s="59"/>
      <c r="K2" s="59"/>
      <c r="L2" s="59"/>
      <c r="M2" s="59"/>
      <c r="N2" s="59"/>
      <c r="O2" s="59"/>
      <c r="P2"/>
      <c r="Q2" s="29"/>
    </row>
    <row r="3" spans="1:17" x14ac:dyDescent="0.35">
      <c r="A3" s="4">
        <v>45301.526315789473</v>
      </c>
      <c r="B3" s="5" t="s">
        <v>6</v>
      </c>
      <c r="C3" s="5" t="s">
        <v>10</v>
      </c>
      <c r="D3" s="5">
        <v>348</v>
      </c>
      <c r="E3" s="5">
        <v>56</v>
      </c>
    </row>
    <row r="4" spans="1:17" x14ac:dyDescent="0.35">
      <c r="A4" s="4">
        <v>45311.052631578947</v>
      </c>
      <c r="B4" s="5" t="s">
        <v>6</v>
      </c>
      <c r="C4" s="5" t="s">
        <v>9</v>
      </c>
      <c r="D4" s="5">
        <v>247</v>
      </c>
      <c r="E4" s="5">
        <v>76</v>
      </c>
      <c r="J4" s="46" t="s">
        <v>49</v>
      </c>
      <c r="K4" s="46" t="s">
        <v>29</v>
      </c>
    </row>
    <row r="5" spans="1:17" x14ac:dyDescent="0.35">
      <c r="A5" s="4">
        <v>45320.578947368413</v>
      </c>
      <c r="B5" s="5" t="s">
        <v>5</v>
      </c>
      <c r="C5" s="5" t="s">
        <v>11</v>
      </c>
      <c r="D5" s="5">
        <v>230</v>
      </c>
      <c r="E5" s="5">
        <v>37</v>
      </c>
      <c r="J5" s="5" t="s">
        <v>14</v>
      </c>
      <c r="K5" s="5">
        <v>1281</v>
      </c>
    </row>
    <row r="6" spans="1:17" x14ac:dyDescent="0.35">
      <c r="A6" s="4">
        <v>45330.105263157893</v>
      </c>
      <c r="B6" s="5" t="s">
        <v>5</v>
      </c>
      <c r="C6" s="5" t="s">
        <v>9</v>
      </c>
      <c r="D6" s="5">
        <v>281</v>
      </c>
      <c r="E6" s="5">
        <v>50</v>
      </c>
      <c r="J6" s="5" t="s">
        <v>15</v>
      </c>
      <c r="K6" s="5">
        <v>1032</v>
      </c>
    </row>
    <row r="7" spans="1:17" x14ac:dyDescent="0.35">
      <c r="A7" s="4">
        <v>45339.631578947359</v>
      </c>
      <c r="B7" s="5" t="s">
        <v>5</v>
      </c>
      <c r="C7" s="5" t="s">
        <v>10</v>
      </c>
      <c r="D7" s="5">
        <v>334</v>
      </c>
      <c r="E7" s="5">
        <v>52</v>
      </c>
      <c r="J7" s="5" t="s">
        <v>16</v>
      </c>
      <c r="K7" s="5">
        <v>958</v>
      </c>
    </row>
    <row r="8" spans="1:17" x14ac:dyDescent="0.35">
      <c r="A8" s="4">
        <v>45349.15789473684</v>
      </c>
      <c r="B8" s="5" t="s">
        <v>6</v>
      </c>
      <c r="C8" s="5" t="s">
        <v>11</v>
      </c>
      <c r="D8" s="5">
        <v>417</v>
      </c>
      <c r="E8" s="5">
        <v>29</v>
      </c>
      <c r="J8" s="5" t="s">
        <v>18</v>
      </c>
      <c r="K8" s="5">
        <v>1155</v>
      </c>
    </row>
    <row r="9" spans="1:17" x14ac:dyDescent="0.35">
      <c r="A9" s="4">
        <v>45358.684210526313</v>
      </c>
      <c r="B9" s="5" t="s">
        <v>5</v>
      </c>
      <c r="C9" s="5" t="s">
        <v>11</v>
      </c>
      <c r="D9" s="5">
        <v>441</v>
      </c>
      <c r="E9" s="5">
        <v>44</v>
      </c>
      <c r="J9" s="5" t="s">
        <v>19</v>
      </c>
      <c r="K9" s="5">
        <v>1286</v>
      </c>
    </row>
    <row r="10" spans="1:17" x14ac:dyDescent="0.35">
      <c r="A10" s="4">
        <v>45368.210526315786</v>
      </c>
      <c r="B10" s="5" t="s">
        <v>6</v>
      </c>
      <c r="C10" s="5" t="s">
        <v>9</v>
      </c>
      <c r="D10" s="5">
        <v>76</v>
      </c>
      <c r="E10" s="5">
        <v>63</v>
      </c>
      <c r="J10" s="5" t="s">
        <v>17</v>
      </c>
      <c r="K10" s="5">
        <v>1117</v>
      </c>
    </row>
    <row r="11" spans="1:17" x14ac:dyDescent="0.35">
      <c r="A11" s="4">
        <v>45377.736842105252</v>
      </c>
      <c r="B11" s="5" t="s">
        <v>5</v>
      </c>
      <c r="C11" s="5" t="s">
        <v>10</v>
      </c>
      <c r="D11" s="5">
        <v>441</v>
      </c>
      <c r="E11" s="5">
        <v>79</v>
      </c>
    </row>
    <row r="12" spans="1:17" x14ac:dyDescent="0.35">
      <c r="A12" s="4">
        <v>45387.263157894733</v>
      </c>
      <c r="B12" s="5" t="s">
        <v>6</v>
      </c>
      <c r="C12" s="5" t="s">
        <v>9</v>
      </c>
      <c r="D12" s="5">
        <v>205</v>
      </c>
      <c r="E12" s="5">
        <v>23</v>
      </c>
      <c r="J12" s="46" t="s">
        <v>73</v>
      </c>
      <c r="K12" s="47">
        <f>AVERAGE(K5:K10)</f>
        <v>1138.1666666666667</v>
      </c>
    </row>
    <row r="13" spans="1:17" x14ac:dyDescent="0.35">
      <c r="A13" s="4">
        <v>45396.789473684199</v>
      </c>
      <c r="B13" s="5" t="s">
        <v>5</v>
      </c>
      <c r="C13" s="5" t="s">
        <v>10</v>
      </c>
      <c r="D13" s="5">
        <v>483</v>
      </c>
      <c r="E13" s="5">
        <v>97</v>
      </c>
    </row>
    <row r="14" spans="1:17" x14ac:dyDescent="0.35">
      <c r="A14" s="4">
        <v>45406.31578947368</v>
      </c>
      <c r="B14" s="5" t="s">
        <v>7</v>
      </c>
      <c r="C14" s="5" t="s">
        <v>9</v>
      </c>
      <c r="D14" s="5">
        <v>467</v>
      </c>
      <c r="E14" s="5">
        <v>97</v>
      </c>
      <c r="H14" s="48" t="s">
        <v>74</v>
      </c>
      <c r="I14" s="48"/>
      <c r="J14" s="48"/>
      <c r="K14" s="48"/>
      <c r="L14" s="48"/>
      <c r="M14" s="48"/>
      <c r="N14" s="48"/>
      <c r="O14" s="48"/>
      <c r="P14"/>
    </row>
    <row r="15" spans="1:17" x14ac:dyDescent="0.35">
      <c r="A15" s="4">
        <v>45415.842105263153</v>
      </c>
      <c r="B15" s="5" t="s">
        <v>5</v>
      </c>
      <c r="C15" s="5" t="s">
        <v>9</v>
      </c>
      <c r="D15" s="5">
        <v>380</v>
      </c>
      <c r="E15" s="5">
        <v>92</v>
      </c>
    </row>
    <row r="16" spans="1:17" x14ac:dyDescent="0.35">
      <c r="A16" s="4">
        <v>45425.368421052633</v>
      </c>
      <c r="B16" s="5" t="s">
        <v>6</v>
      </c>
      <c r="C16" s="5" t="s">
        <v>10</v>
      </c>
      <c r="D16" s="5">
        <v>497</v>
      </c>
      <c r="E16" s="5">
        <v>71</v>
      </c>
    </row>
    <row r="17" spans="1:5" x14ac:dyDescent="0.35">
      <c r="A17" s="4">
        <v>45434.894736842092</v>
      </c>
      <c r="B17" s="5" t="s">
        <v>6</v>
      </c>
      <c r="C17" s="5" t="s">
        <v>9</v>
      </c>
      <c r="D17" s="5">
        <v>409</v>
      </c>
      <c r="E17" s="5">
        <v>81</v>
      </c>
    </row>
    <row r="18" spans="1:5" x14ac:dyDescent="0.35">
      <c r="A18" s="4">
        <v>45444.421052631573</v>
      </c>
      <c r="B18" s="5" t="s">
        <v>5</v>
      </c>
      <c r="C18" s="5" t="s">
        <v>10</v>
      </c>
      <c r="D18" s="5">
        <v>53</v>
      </c>
      <c r="E18" s="5">
        <v>45</v>
      </c>
    </row>
    <row r="19" spans="1:5" x14ac:dyDescent="0.35">
      <c r="A19" s="4">
        <v>45453.947368421039</v>
      </c>
      <c r="B19" s="5" t="s">
        <v>5</v>
      </c>
      <c r="C19" s="5" t="s">
        <v>11</v>
      </c>
      <c r="D19" s="5">
        <v>398</v>
      </c>
      <c r="E19" s="5">
        <v>33</v>
      </c>
    </row>
    <row r="20" spans="1:5" x14ac:dyDescent="0.35">
      <c r="A20" s="4">
        <v>45463.473684210519</v>
      </c>
      <c r="B20" s="5" t="s">
        <v>8</v>
      </c>
      <c r="C20" s="5" t="s">
        <v>10</v>
      </c>
      <c r="D20" s="5">
        <v>347</v>
      </c>
      <c r="E20" s="5">
        <v>35</v>
      </c>
    </row>
    <row r="21" spans="1:5" x14ac:dyDescent="0.35">
      <c r="A21" s="4">
        <v>45473</v>
      </c>
      <c r="B21" s="5" t="s">
        <v>6</v>
      </c>
      <c r="C21" s="5" t="s">
        <v>11</v>
      </c>
      <c r="D21" s="5">
        <v>319</v>
      </c>
      <c r="E21" s="5">
        <v>45</v>
      </c>
    </row>
  </sheetData>
  <mergeCells count="2">
    <mergeCell ref="H14:O14"/>
    <mergeCell ref="H2:O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2C913-98F4-4168-BFFD-D90E683923DF}">
  <sheetPr>
    <tabColor theme="0" tint="-0.14999847407452621"/>
  </sheetPr>
  <dimension ref="A1:S21"/>
  <sheetViews>
    <sheetView workbookViewId="0"/>
  </sheetViews>
  <sheetFormatPr defaultRowHeight="18" x14ac:dyDescent="0.35"/>
  <cols>
    <col min="1" max="1" width="26.44140625" style="2" customWidth="1"/>
    <col min="2" max="2" width="11.109375" style="2" customWidth="1"/>
    <col min="3" max="3" width="12.5546875" style="2" customWidth="1"/>
    <col min="4" max="4" width="10.109375" style="2" customWidth="1"/>
    <col min="5" max="5" width="13.109375" style="2" customWidth="1"/>
    <col min="6" max="9" width="8.88671875" style="2"/>
    <col min="10" max="10" width="13.6640625" style="2" bestFit="1" customWidth="1"/>
    <col min="11" max="11" width="12.33203125" style="2" bestFit="1" customWidth="1"/>
    <col min="12" max="16" width="8.88671875" style="2"/>
    <col min="17" max="17" width="9.88671875" style="2" customWidth="1"/>
    <col min="18" max="18" width="9.6640625" style="2" customWidth="1"/>
    <col min="19" max="16384" width="8.88671875" style="2"/>
  </cols>
  <sheetData>
    <row r="1" spans="1:19" x14ac:dyDescent="0.35">
      <c r="A1" s="46" t="s">
        <v>0</v>
      </c>
      <c r="B1" s="46" t="s">
        <v>1</v>
      </c>
      <c r="C1" s="46" t="s">
        <v>2</v>
      </c>
      <c r="D1" s="46" t="s">
        <v>3</v>
      </c>
      <c r="E1" s="46" t="s">
        <v>4</v>
      </c>
    </row>
    <row r="2" spans="1:19" x14ac:dyDescent="0.35">
      <c r="A2" s="4">
        <v>45292</v>
      </c>
      <c r="B2" s="5" t="s">
        <v>5</v>
      </c>
      <c r="C2" s="5" t="s">
        <v>9</v>
      </c>
      <c r="D2" s="5">
        <v>456</v>
      </c>
      <c r="E2" s="5">
        <v>93</v>
      </c>
      <c r="G2" s="46" t="s">
        <v>75</v>
      </c>
      <c r="H2" s="58" t="s">
        <v>76</v>
      </c>
      <c r="I2" s="59"/>
      <c r="J2" s="59"/>
      <c r="K2" s="59"/>
      <c r="L2" s="59"/>
      <c r="M2" s="59"/>
      <c r="N2" s="59"/>
      <c r="O2" s="59"/>
      <c r="P2" s="59"/>
      <c r="Q2" s="59"/>
      <c r="R2" s="59"/>
      <c r="S2"/>
    </row>
    <row r="3" spans="1:19" x14ac:dyDescent="0.35">
      <c r="A3" s="4">
        <v>45301.526315789473</v>
      </c>
      <c r="B3" s="5" t="s">
        <v>6</v>
      </c>
      <c r="C3" s="5" t="s">
        <v>10</v>
      </c>
      <c r="D3" s="5">
        <v>348</v>
      </c>
      <c r="E3" s="5">
        <v>56</v>
      </c>
    </row>
    <row r="4" spans="1:19" x14ac:dyDescent="0.35">
      <c r="A4" s="4">
        <v>45311.052631578947</v>
      </c>
      <c r="B4" s="5" t="s">
        <v>6</v>
      </c>
      <c r="C4" s="5" t="s">
        <v>9</v>
      </c>
      <c r="D4" s="5">
        <v>247</v>
      </c>
      <c r="E4" s="5">
        <v>76</v>
      </c>
      <c r="J4" s="11" t="s">
        <v>60</v>
      </c>
      <c r="K4" s="2" t="s">
        <v>29</v>
      </c>
      <c r="L4"/>
    </row>
    <row r="5" spans="1:19" x14ac:dyDescent="0.35">
      <c r="A5" s="4">
        <v>45320.578947368413</v>
      </c>
      <c r="B5" s="5" t="s">
        <v>5</v>
      </c>
      <c r="C5" s="5" t="s">
        <v>11</v>
      </c>
      <c r="D5" s="5">
        <v>230</v>
      </c>
      <c r="E5" s="5">
        <v>37</v>
      </c>
      <c r="J5" s="12" t="s">
        <v>77</v>
      </c>
      <c r="K5" s="25">
        <v>4308</v>
      </c>
      <c r="L5"/>
    </row>
    <row r="6" spans="1:19" x14ac:dyDescent="0.35">
      <c r="A6" s="4">
        <v>45330.105263157893</v>
      </c>
      <c r="B6" s="5" t="s">
        <v>5</v>
      </c>
      <c r="C6" s="5" t="s">
        <v>9</v>
      </c>
      <c r="D6" s="5">
        <v>281</v>
      </c>
      <c r="E6" s="5">
        <v>50</v>
      </c>
      <c r="J6" s="45" t="s">
        <v>11</v>
      </c>
      <c r="K6" s="25">
        <v>1805</v>
      </c>
      <c r="L6"/>
    </row>
    <row r="7" spans="1:19" x14ac:dyDescent="0.35">
      <c r="A7" s="4">
        <v>45339.631578947359</v>
      </c>
      <c r="B7" s="5" t="s">
        <v>5</v>
      </c>
      <c r="C7" s="5" t="s">
        <v>10</v>
      </c>
      <c r="D7" s="5">
        <v>334</v>
      </c>
      <c r="E7" s="5">
        <v>52</v>
      </c>
      <c r="J7" s="45" t="s">
        <v>10</v>
      </c>
      <c r="K7" s="25">
        <v>2503</v>
      </c>
      <c r="L7"/>
    </row>
    <row r="8" spans="1:19" x14ac:dyDescent="0.35">
      <c r="A8" s="4">
        <v>45349.15789473684</v>
      </c>
      <c r="B8" s="5" t="s">
        <v>6</v>
      </c>
      <c r="C8" s="5" t="s">
        <v>11</v>
      </c>
      <c r="D8" s="5">
        <v>417</v>
      </c>
      <c r="E8" s="5">
        <v>29</v>
      </c>
      <c r="J8" s="12" t="s">
        <v>9</v>
      </c>
      <c r="K8" s="25">
        <v>2521</v>
      </c>
      <c r="L8"/>
    </row>
    <row r="9" spans="1:19" x14ac:dyDescent="0.35">
      <c r="A9" s="4">
        <v>45358.684210526313</v>
      </c>
      <c r="B9" s="5" t="s">
        <v>5</v>
      </c>
      <c r="C9" s="5" t="s">
        <v>11</v>
      </c>
      <c r="D9" s="5">
        <v>441</v>
      </c>
      <c r="E9" s="5">
        <v>44</v>
      </c>
      <c r="J9" s="12" t="s">
        <v>13</v>
      </c>
      <c r="K9" s="25">
        <v>6829</v>
      </c>
    </row>
    <row r="10" spans="1:19" x14ac:dyDescent="0.35">
      <c r="A10" s="4">
        <v>45368.210526315786</v>
      </c>
      <c r="B10" s="5" t="s">
        <v>6</v>
      </c>
      <c r="C10" s="5" t="s">
        <v>9</v>
      </c>
      <c r="D10" s="5">
        <v>76</v>
      </c>
      <c r="E10" s="5">
        <v>63</v>
      </c>
      <c r="J10"/>
      <c r="K10"/>
    </row>
    <row r="11" spans="1:19" x14ac:dyDescent="0.35">
      <c r="A11" s="4">
        <v>45377.736842105252</v>
      </c>
      <c r="B11" s="5" t="s">
        <v>5</v>
      </c>
      <c r="C11" s="5" t="s">
        <v>10</v>
      </c>
      <c r="D11" s="5">
        <v>441</v>
      </c>
      <c r="E11" s="5">
        <v>79</v>
      </c>
    </row>
    <row r="12" spans="1:19" x14ac:dyDescent="0.35">
      <c r="A12" s="4">
        <v>45387.263157894733</v>
      </c>
      <c r="B12" s="5" t="s">
        <v>6</v>
      </c>
      <c r="C12" s="5" t="s">
        <v>9</v>
      </c>
      <c r="D12" s="5">
        <v>205</v>
      </c>
      <c r="E12" s="5">
        <v>23</v>
      </c>
      <c r="G12" s="10" t="s">
        <v>22</v>
      </c>
      <c r="H12" s="34" t="s">
        <v>78</v>
      </c>
      <c r="I12" s="35"/>
      <c r="J12" s="35"/>
      <c r="K12" s="35"/>
      <c r="L12" s="35"/>
      <c r="M12" s="35"/>
      <c r="N12" s="35"/>
      <c r="O12" s="35"/>
      <c r="P12" s="35"/>
      <c r="Q12" s="35"/>
      <c r="R12" s="36"/>
    </row>
    <row r="13" spans="1:19" x14ac:dyDescent="0.35">
      <c r="A13" s="4">
        <v>45396.789473684199</v>
      </c>
      <c r="B13" s="5" t="s">
        <v>5</v>
      </c>
      <c r="C13" s="5" t="s">
        <v>10</v>
      </c>
      <c r="D13" s="5">
        <v>483</v>
      </c>
      <c r="E13" s="5">
        <v>97</v>
      </c>
      <c r="H13" s="37" t="s">
        <v>79</v>
      </c>
      <c r="I13" s="38"/>
      <c r="J13" s="38"/>
      <c r="K13" s="38"/>
      <c r="L13" s="38"/>
      <c r="M13" s="38"/>
      <c r="N13" s="38"/>
      <c r="O13" s="38"/>
      <c r="P13" s="38"/>
      <c r="Q13" s="38"/>
      <c r="R13" s="39"/>
    </row>
    <row r="14" spans="1:19" x14ac:dyDescent="0.35">
      <c r="A14" s="4">
        <v>45406.31578947368</v>
      </c>
      <c r="B14" s="5" t="s">
        <v>7</v>
      </c>
      <c r="C14" s="5" t="s">
        <v>9</v>
      </c>
      <c r="D14" s="5">
        <v>467</v>
      </c>
      <c r="E14" s="5">
        <v>97</v>
      </c>
      <c r="H14" s="40" t="s">
        <v>80</v>
      </c>
      <c r="I14" s="41"/>
      <c r="J14" s="41"/>
      <c r="K14" s="41"/>
      <c r="L14" s="41"/>
      <c r="M14" s="41"/>
      <c r="N14" s="41"/>
      <c r="O14" s="41"/>
      <c r="P14" s="41"/>
      <c r="Q14" s="41"/>
      <c r="R14" s="42"/>
    </row>
    <row r="15" spans="1:19" x14ac:dyDescent="0.35">
      <c r="A15" s="4">
        <v>45415.842105263153</v>
      </c>
      <c r="B15" s="5" t="s">
        <v>5</v>
      </c>
      <c r="C15" s="5" t="s">
        <v>9</v>
      </c>
      <c r="D15" s="5">
        <v>380</v>
      </c>
      <c r="E15" s="5">
        <v>92</v>
      </c>
      <c r="J15"/>
      <c r="K15"/>
      <c r="L15"/>
    </row>
    <row r="16" spans="1:19" x14ac:dyDescent="0.35">
      <c r="A16" s="4">
        <v>45425.368421052633</v>
      </c>
      <c r="B16" s="5" t="s">
        <v>6</v>
      </c>
      <c r="C16" s="5" t="s">
        <v>10</v>
      </c>
      <c r="D16" s="5">
        <v>497</v>
      </c>
      <c r="E16" s="5">
        <v>71</v>
      </c>
      <c r="J16"/>
      <c r="K16"/>
      <c r="L16"/>
    </row>
    <row r="17" spans="1:12" x14ac:dyDescent="0.35">
      <c r="A17" s="4">
        <v>45434.894736842092</v>
      </c>
      <c r="B17" s="5" t="s">
        <v>6</v>
      </c>
      <c r="C17" s="5" t="s">
        <v>9</v>
      </c>
      <c r="D17" s="5">
        <v>409</v>
      </c>
      <c r="E17" s="5">
        <v>81</v>
      </c>
      <c r="J17"/>
      <c r="K17"/>
      <c r="L17"/>
    </row>
    <row r="18" spans="1:12" x14ac:dyDescent="0.35">
      <c r="A18" s="4">
        <v>45444.421052631573</v>
      </c>
      <c r="B18" s="5" t="s">
        <v>5</v>
      </c>
      <c r="C18" s="5" t="s">
        <v>10</v>
      </c>
      <c r="D18" s="5">
        <v>53</v>
      </c>
      <c r="E18" s="5">
        <v>45</v>
      </c>
      <c r="J18"/>
      <c r="K18"/>
      <c r="L18"/>
    </row>
    <row r="19" spans="1:12" x14ac:dyDescent="0.35">
      <c r="A19" s="4">
        <v>45453.947368421039</v>
      </c>
      <c r="B19" s="5" t="s">
        <v>5</v>
      </c>
      <c r="C19" s="5" t="s">
        <v>11</v>
      </c>
      <c r="D19" s="5">
        <v>398</v>
      </c>
      <c r="E19" s="5">
        <v>33</v>
      </c>
      <c r="J19"/>
      <c r="K19"/>
      <c r="L19"/>
    </row>
    <row r="20" spans="1:12" x14ac:dyDescent="0.35">
      <c r="A20" s="4">
        <v>45463.473684210519</v>
      </c>
      <c r="B20" s="5" t="s">
        <v>8</v>
      </c>
      <c r="C20" s="5" t="s">
        <v>10</v>
      </c>
      <c r="D20" s="5">
        <v>347</v>
      </c>
      <c r="E20" s="5">
        <v>35</v>
      </c>
      <c r="J20"/>
      <c r="K20"/>
      <c r="L20"/>
    </row>
    <row r="21" spans="1:12" x14ac:dyDescent="0.35">
      <c r="A21" s="4">
        <v>45473</v>
      </c>
      <c r="B21" s="5" t="s">
        <v>6</v>
      </c>
      <c r="C21" s="5" t="s">
        <v>11</v>
      </c>
      <c r="D21" s="5">
        <v>319</v>
      </c>
      <c r="E21" s="5">
        <v>45</v>
      </c>
      <c r="J21"/>
      <c r="K21"/>
      <c r="L21"/>
    </row>
  </sheetData>
  <mergeCells count="4">
    <mergeCell ref="H13:R13"/>
    <mergeCell ref="H14:R14"/>
    <mergeCell ref="H2:R2"/>
    <mergeCell ref="H12:R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mahtab ansari</cp:lastModifiedBy>
  <dcterms:created xsi:type="dcterms:W3CDTF">2025-09-27T10:25:11Z</dcterms:created>
  <dcterms:modified xsi:type="dcterms:W3CDTF">2026-01-09T13:48:50Z</dcterms:modified>
</cp:coreProperties>
</file>